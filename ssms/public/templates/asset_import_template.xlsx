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 workbookPassword="D81C" lockStructure="1"/>
  <bookViews>
    <workbookView showHorizontalScroll="true" showVerticalScroll="true" showSheetTabs="true" xWindow="0" yWindow="0" windowWidth="16384" windowHeight="8192" tabRatio="500" firstSheet="0" activeTab="0"/>
  </bookViews>
  <sheets>
    <sheet name="መመሪያ" sheetId="1" state="visible" r:id="rId3"/>
    <sheet name="ዝርዝሮች" sheetId="2" state="visible" r:id="rId4"/>
    <sheet name="የንብረት መዝገብ" sheetId="3" state="visible" r:id="rId5"/>
    <sheet name="ማጠቃለያ" sheetId="4" state="visible" r:id="rId6"/>
  </sheets>
  <definedNames>
    <definedName function="false" hidden="true" localSheetId="2" name="_xlnm._FilterDatabase" vbProcedure="false">'የንብረት መዝገብ'!$A$8:$T$209</definedName>
    <definedName function="false" hidden="false" name="CatLife" vbProcedure="false">OFFSET(ዝርዝሮች!$D$6,0,1,MAX(1,COUNTA(ዝርዝሮች!$D$6:$D$25)),1)</definedName>
    <definedName function="false" hidden="false" name="Cats" vbProcedure="false">OFFSET(ዝርዝሮች!$D$6,0,0,MAX(1,COUNTA(ዝርዝሮች!$D$6:$D$25)),1)</definedName>
    <definedName function="false" hidden="false" name="Conds" vbProcedure="false">ዝርዝሮች!$H$6:$H$11</definedName>
    <definedName function="false" hidden="false" name="CurYear" vbProcedure="false">ዝርዝሮች!$B$3</definedName>
    <definedName function="false" hidden="false" name="DeptCodes" vbProcedure="false">OFFSET(ዝርዝሮች!$A$6,0,1,MAX(1,COUNTA(ዝርዝሮች!$A$6:$A$25)),1)</definedName>
    <definedName function="false" hidden="false" name="Depts" vbProcedure="false">OFFSET(ዝርዝሮች!$A$6,0,0,MAX(1,COUNTA(ዝርዝሮች!$A$6:$A$25)),1)</definedName>
    <definedName function="false" hidden="false" name="Sources" vbProcedure="false">ዝርዝሮች!$G$6:$G$9</definedName>
    <definedName function="false" hidden="false" name="Units" vbProcedure="false">ዝርዝሮች!$I$6:$I$11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FreeSans"/>
            <family val="2"/>
          </rPr>
          <t xml:space="preserve">በራሱ ይሰጣል፦ </t>
        </r>
        <r>
          <rPr>
            <sz val="10"/>
            <rFont val="Arial"/>
            <family val="2"/>
          </rPr>
          <t xml:space="preserve">HH-</t>
        </r>
        <r>
          <rPr>
            <sz val="10"/>
            <rFont val="FreeSans"/>
            <family val="2"/>
          </rPr>
          <t xml:space="preserve">የክፍል ኮድ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FreeSans"/>
            <family val="2"/>
          </rPr>
          <t xml:space="preserve">ተራ ቁጥር። ይህንን ኮድ በንብረቱ ላይ በመለጠፊያ ይጻፉ።</t>
        </r>
      </text>
    </comment>
    <comment ref="I8" authorId="0">
      <text>
        <r>
          <rPr>
            <sz val="10"/>
            <rFont val="FreeSans"/>
            <family val="2"/>
          </rPr>
          <t xml:space="preserve">የተገዛበት ዋጋ </t>
        </r>
        <r>
          <rPr>
            <sz val="10"/>
            <rFont val="Arial"/>
            <family val="2"/>
          </rPr>
          <t xml:space="preserve">(historical cost)</t>
        </r>
        <r>
          <rPr>
            <sz val="10"/>
            <rFont val="FreeSans"/>
            <family val="2"/>
          </rPr>
          <t xml:space="preserve">። በስጦታ የተገኘ ከሆነ በገበያ ዋጋ ይገመት።</t>
        </r>
      </text>
    </comment>
    <comment ref="L8" authorId="0">
      <text>
        <r>
          <rPr>
            <sz val="10"/>
            <rFont val="FreeSans"/>
            <family val="2"/>
          </rPr>
          <t xml:space="preserve">በኢትዮጵያ አቆጣጠር ዓመት፤ ለምሳሌ </t>
        </r>
        <r>
          <rPr>
            <sz val="10"/>
            <rFont val="Arial"/>
            <family val="2"/>
          </rPr>
          <t xml:space="preserve">2017</t>
        </r>
        <r>
          <rPr>
            <sz val="10"/>
            <rFont val="FreeSans"/>
            <family val="2"/>
          </rPr>
          <t xml:space="preserve">። ትክክለኛው ካልታወቀ ግምት ይጻፍ።</t>
        </r>
      </text>
    </comment>
  </commentList>
</comments>
</file>

<file path=xl/sharedStrings.xml><?xml version="1.0" encoding="utf-8"?>
<sst xmlns="http://schemas.openxmlformats.org/spreadsheetml/2006/main" count="138" uniqueCount="124">
  <si>
    <t xml:space="preserve">በኢትዮጵያ ኦርቶዶክስ ተዋሕዶ ቤተ ክርስቲያን</t>
  </si>
  <si>
    <t xml:space="preserve">ሳሎ ደብረ ጸሐይ ቅዱስ ጊዮርጊስ ቤተ ክርስቲያን</t>
  </si>
  <si>
    <r>
      <rPr>
        <b val="true"/>
        <sz val="12"/>
        <color rgb="FF06245C"/>
        <rFont val="FreeSans"/>
        <family val="2"/>
      </rPr>
      <t xml:space="preserve">የሐመረ ሕይወት ሰንበት ትምህርት ቤት — </t>
    </r>
    <r>
      <rPr>
        <b val="true"/>
        <sz val="12"/>
        <color rgb="FF06245C"/>
        <rFont val="Ebrima"/>
        <family val="0"/>
        <charset val="1"/>
      </rPr>
      <t xml:space="preserve">Hamere Hiwot Sabbath School</t>
    </r>
  </si>
  <si>
    <t xml:space="preserve">ለ፦ የየክፍሉ አመራሮች</t>
  </si>
  <si>
    <t xml:space="preserve">ጉዳዩ፦ በክፍላችሁ ሥር ያሉትን ንብረቶች መዝግቦ ስለማቅረብ</t>
  </si>
  <si>
    <r>
      <rPr>
        <sz val="11"/>
        <color rgb="FF1A1A1A"/>
        <rFont val="FreeSans"/>
        <family val="2"/>
      </rPr>
      <t xml:space="preserve">የሰንበት ትምህርት ቤታችን ንብረቶች በአግባቡ እንዲጠበቁና ተጠያቂነት እንዲኖር፣ እያንዳንዱ ክፍል በኃላፊነቱ ሥር ያሉትን ንብረቶች በሙሉ በዚህ ቅጽ መዝግቦ እስከ </t>
    </r>
    <r>
      <rPr>
        <sz val="11"/>
        <color rgb="FF1A1A1A"/>
        <rFont val="Ebrima"/>
        <family val="0"/>
        <charset val="1"/>
      </rPr>
      <t xml:space="preserve">______________ </t>
    </r>
    <r>
      <rPr>
        <sz val="11"/>
        <color rgb="FF1A1A1A"/>
        <rFont val="FreeSans"/>
        <family val="2"/>
      </rPr>
      <t xml:space="preserve">ድረስ ለሒሳብና ንብረት ክፍል እንዲያቀርብ በአክብሮት እንጠይቃለን።</t>
    </r>
  </si>
  <si>
    <r>
      <rPr>
        <b val="true"/>
        <sz val="13"/>
        <color rgb="FF06245C"/>
        <rFont val="FreeSans"/>
        <family val="2"/>
      </rPr>
      <t xml:space="preserve">እንዴት ይሞላል</t>
    </r>
    <r>
      <rPr>
        <b val="true"/>
        <sz val="13"/>
        <color rgb="FF06245C"/>
        <rFont val="Ebrima"/>
        <family val="0"/>
        <charset val="1"/>
      </rPr>
      <t xml:space="preserve">?</t>
    </r>
  </si>
  <si>
    <r>
      <rPr>
        <sz val="11"/>
        <color rgb="FF1A1A1A"/>
        <rFont val="Ebrima"/>
        <family val="0"/>
        <charset val="1"/>
      </rPr>
      <t xml:space="preserve">1. </t>
    </r>
    <r>
      <rPr>
        <sz val="11"/>
        <color rgb="FF1A1A1A"/>
        <rFont val="FreeSans"/>
        <family val="2"/>
      </rPr>
      <t xml:space="preserve">ወደ </t>
    </r>
    <r>
      <rPr>
        <sz val="11"/>
        <color rgb="FF1A1A1A"/>
        <rFont val="Ebrima"/>
        <family val="0"/>
        <charset val="1"/>
      </rPr>
      <t xml:space="preserve">«</t>
    </r>
    <r>
      <rPr>
        <sz val="11"/>
        <color rgb="FF1A1A1A"/>
        <rFont val="FreeSans"/>
        <family val="2"/>
      </rPr>
      <t xml:space="preserve">የንብረት መዝገብ</t>
    </r>
    <r>
      <rPr>
        <sz val="11"/>
        <color rgb="FF1A1A1A"/>
        <rFont val="Ebrima"/>
        <family val="0"/>
        <charset val="1"/>
      </rPr>
      <t xml:space="preserve">» </t>
    </r>
    <r>
      <rPr>
        <sz val="11"/>
        <color rgb="FF1A1A1A"/>
        <rFont val="FreeSans"/>
        <family val="2"/>
      </rPr>
      <t xml:space="preserve">ገጽ ይሂዱ። በላይ ባለው ቢጫ ሳጥን የክፍላችሁን ስም፣ የሰብሳቢውን ስምና ስልክ ይሙሉ።</t>
    </r>
  </si>
  <si>
    <r>
      <rPr>
        <sz val="11"/>
        <color rgb="FF1A1A1A"/>
        <rFont val="Ebrima"/>
        <family val="0"/>
        <charset val="1"/>
      </rPr>
      <t xml:space="preserve">2. </t>
    </r>
    <r>
      <rPr>
        <sz val="11"/>
        <color rgb="FF1A1A1A"/>
        <rFont val="FreeSans"/>
        <family val="2"/>
      </rPr>
      <t xml:space="preserve">በላይ ባለው ቢጫ ሳጥን ክፍላችሁን ከዝርዝሩ ምረጡ። ከርዕሱ ሥር ያለው ግራጫ </t>
    </r>
    <r>
      <rPr>
        <sz val="11"/>
        <color rgb="FF1A1A1A"/>
        <rFont val="Ebrima"/>
        <family val="0"/>
        <charset val="1"/>
      </rPr>
      <t xml:space="preserve">«</t>
    </r>
    <r>
      <rPr>
        <sz val="11"/>
        <color rgb="FF1A1A1A"/>
        <rFont val="FreeSans"/>
        <family val="2"/>
      </rPr>
      <t xml:space="preserve">ምሳሌ</t>
    </r>
    <r>
      <rPr>
        <sz val="11"/>
        <color rgb="FF1A1A1A"/>
        <rFont val="Ebrima"/>
        <family val="0"/>
        <charset val="1"/>
      </rPr>
      <t xml:space="preserve">» </t>
    </r>
    <r>
      <rPr>
        <sz val="11"/>
        <color rgb="FF1A1A1A"/>
        <rFont val="FreeSans"/>
        <family val="2"/>
      </rPr>
      <t xml:space="preserve">ረድፍ ማሳያ ብቻ ነው፤ በድምር አይቆጠርም፤ በሲስተሙ ኢምፖርት ጊዜም ይዘለላል። መሙላት የምትጀምሩት ከሱ በታች </t>
    </r>
    <r>
      <rPr>
        <sz val="11"/>
        <color rgb="FF1A1A1A"/>
        <rFont val="Ebrima"/>
        <family val="0"/>
        <charset val="1"/>
      </rPr>
      <t xml:space="preserve">(</t>
    </r>
    <r>
      <rPr>
        <sz val="11"/>
        <color rgb="FF1A1A1A"/>
        <rFont val="FreeSans"/>
        <family val="2"/>
      </rPr>
      <t xml:space="preserve">ተ</t>
    </r>
    <r>
      <rPr>
        <sz val="11"/>
        <color rgb="FF1A1A1A"/>
        <rFont val="Ebrima"/>
        <family val="0"/>
        <charset val="1"/>
      </rPr>
      <t xml:space="preserve">.</t>
    </r>
    <r>
      <rPr>
        <sz val="11"/>
        <color rgb="FF1A1A1A"/>
        <rFont val="FreeSans"/>
        <family val="2"/>
      </rPr>
      <t xml:space="preserve">ቁ </t>
    </r>
    <r>
      <rPr>
        <sz val="11"/>
        <color rgb="FF1A1A1A"/>
        <rFont val="Ebrima"/>
        <family val="0"/>
        <charset val="1"/>
      </rPr>
      <t xml:space="preserve">1) </t>
    </r>
    <r>
      <rPr>
        <sz val="11"/>
        <color rgb="FF1A1A1A"/>
        <rFont val="FreeSans"/>
        <family val="2"/>
      </rPr>
      <t xml:space="preserve">ነው።</t>
    </r>
  </si>
  <si>
    <r>
      <rPr>
        <sz val="11"/>
        <color rgb="FF1A1A1A"/>
        <rFont val="Ebrima"/>
        <family val="0"/>
        <charset val="1"/>
      </rPr>
      <t xml:space="preserve">3. </t>
    </r>
    <r>
      <rPr>
        <sz val="11"/>
        <color rgb="FF1A1A1A"/>
        <rFont val="FreeSans"/>
        <family val="2"/>
      </rPr>
      <t xml:space="preserve">እያንዳንዱን ንብረት በአንድ ረድፍ ይመዝግቡ። ሰማያዊ ፊደል ያላቸውን ሴሎች ብቻ ይሙሉ፤ ጥቁር ፊደል ያላቸው </t>
    </r>
    <r>
      <rPr>
        <sz val="11"/>
        <color rgb="FF1A1A1A"/>
        <rFont val="Ebrima"/>
        <family val="0"/>
        <charset val="1"/>
      </rPr>
      <t xml:space="preserve">(</t>
    </r>
    <r>
      <rPr>
        <sz val="11"/>
        <color rgb="FF1A1A1A"/>
        <rFont val="FreeSans"/>
        <family val="2"/>
      </rPr>
      <t xml:space="preserve">ኮድ፣ ጠቅላላ ዋጋ፣ እርጅና፣ የመዝገብ ዋጋ</t>
    </r>
    <r>
      <rPr>
        <sz val="11"/>
        <color rgb="FF1A1A1A"/>
        <rFont val="Ebrima"/>
        <family val="0"/>
        <charset val="1"/>
      </rPr>
      <t xml:space="preserve">) </t>
    </r>
    <r>
      <rPr>
        <sz val="11"/>
        <color rgb="FF1A1A1A"/>
        <rFont val="FreeSans"/>
        <family val="2"/>
      </rPr>
      <t xml:space="preserve">በራሳቸው ይሰላሉ።</t>
    </r>
  </si>
  <si>
    <r>
      <rPr>
        <sz val="11"/>
        <color rgb="FF1A1A1A"/>
        <rFont val="Ebrima"/>
        <family val="0"/>
        <charset val="1"/>
      </rPr>
      <t xml:space="preserve">4. </t>
    </r>
    <r>
      <rPr>
        <sz val="11"/>
        <color rgb="FF1A1A1A"/>
        <rFont val="FreeSans"/>
        <family val="2"/>
      </rPr>
      <t xml:space="preserve">ምድብ፣ ባለቤት ክፍል፣ መለኪያ፣ የተገኘበት መንገድና ሁኔታ ከሚወርደው ዝርዝር </t>
    </r>
    <r>
      <rPr>
        <sz val="11"/>
        <color rgb="FF1A1A1A"/>
        <rFont val="Ebrima"/>
        <family val="0"/>
        <charset val="1"/>
      </rPr>
      <t xml:space="preserve">(dropdown) </t>
    </r>
    <r>
      <rPr>
        <sz val="11"/>
        <color rgb="FF1A1A1A"/>
        <rFont val="FreeSans"/>
        <family val="2"/>
      </rPr>
      <t xml:space="preserve">ይመረጣሉ።</t>
    </r>
  </si>
  <si>
    <r>
      <rPr>
        <sz val="11"/>
        <color rgb="FF1A1A1A"/>
        <rFont val="Ebrima"/>
        <family val="0"/>
        <charset val="1"/>
      </rPr>
      <t xml:space="preserve">5. </t>
    </r>
    <r>
      <rPr>
        <sz val="11"/>
        <color rgb="FF1A1A1A"/>
        <rFont val="FreeSans"/>
        <family val="2"/>
      </rPr>
      <t xml:space="preserve">ዋጋ፦ የተገዛበትን ዋጋ ይጻፉ። በስጦታ የተገኘ ከሆነ አሁን በገበያ ያለውን ዋጋ ገምተው ይጻፉ፤ በማስታወሻ </t>
    </r>
    <r>
      <rPr>
        <sz val="11"/>
        <color rgb="FF1A1A1A"/>
        <rFont val="Ebrima"/>
        <family val="0"/>
        <charset val="1"/>
      </rPr>
      <t xml:space="preserve">«</t>
    </r>
    <r>
      <rPr>
        <sz val="11"/>
        <color rgb="FF1A1A1A"/>
        <rFont val="FreeSans"/>
        <family val="2"/>
      </rPr>
      <t xml:space="preserve">ግምት</t>
    </r>
    <r>
      <rPr>
        <sz val="11"/>
        <color rgb="FF1A1A1A"/>
        <rFont val="Ebrima"/>
        <family val="0"/>
        <charset val="1"/>
      </rPr>
      <t xml:space="preserve">» </t>
    </r>
    <r>
      <rPr>
        <sz val="11"/>
        <color rgb="FF1A1A1A"/>
        <rFont val="FreeSans"/>
        <family val="2"/>
      </rPr>
      <t xml:space="preserve">ብለው ያመልክቱ።</t>
    </r>
  </si>
  <si>
    <r>
      <rPr>
        <sz val="11"/>
        <color rgb="FF1A1A1A"/>
        <rFont val="Ebrima"/>
        <family val="0"/>
        <charset val="1"/>
      </rPr>
      <t xml:space="preserve">6. </t>
    </r>
    <r>
      <rPr>
        <sz val="11"/>
        <color rgb="FF1A1A1A"/>
        <rFont val="FreeSans"/>
        <family val="2"/>
      </rPr>
      <t xml:space="preserve">ዓመት፦ በኢትዮጵያ አቆጣጠር በ</t>
    </r>
    <r>
      <rPr>
        <sz val="11"/>
        <color rgb="FF1A1A1A"/>
        <rFont val="Ebrima"/>
        <family val="0"/>
        <charset val="1"/>
      </rPr>
      <t xml:space="preserve">4 </t>
    </r>
    <r>
      <rPr>
        <sz val="11"/>
        <color rgb="FF1A1A1A"/>
        <rFont val="FreeSans"/>
        <family val="2"/>
      </rPr>
      <t xml:space="preserve">አሃዝ </t>
    </r>
    <r>
      <rPr>
        <sz val="11"/>
        <color rgb="FF1A1A1A"/>
        <rFont val="Ebrima"/>
        <family val="0"/>
        <charset val="1"/>
      </rPr>
      <t xml:space="preserve">(</t>
    </r>
    <r>
      <rPr>
        <sz val="11"/>
        <color rgb="FF1A1A1A"/>
        <rFont val="FreeSans"/>
        <family val="2"/>
      </rPr>
      <t xml:space="preserve">ለምሳሌ </t>
    </r>
    <r>
      <rPr>
        <sz val="11"/>
        <color rgb="FF1A1A1A"/>
        <rFont val="Ebrima"/>
        <family val="0"/>
        <charset val="1"/>
      </rPr>
      <t xml:space="preserve">2017)</t>
    </r>
    <r>
      <rPr>
        <sz val="11"/>
        <color rgb="FF1A1A1A"/>
        <rFont val="FreeSans"/>
        <family val="2"/>
      </rPr>
      <t xml:space="preserve">። ትክክለኛው ካልታወቀ የሚገመተውን ዓመት ይጻፉ።</t>
    </r>
  </si>
  <si>
    <r>
      <rPr>
        <sz val="11"/>
        <color rgb="FF1A1A1A"/>
        <rFont val="Ebrima"/>
        <family val="0"/>
        <charset val="1"/>
      </rPr>
      <t xml:space="preserve">7. </t>
    </r>
    <r>
      <rPr>
        <sz val="11"/>
        <color rgb="FF1A1A1A"/>
        <rFont val="FreeSans"/>
        <family val="2"/>
      </rPr>
      <t xml:space="preserve">የንብረት ኮዱ </t>
    </r>
    <r>
      <rPr>
        <sz val="11"/>
        <color rgb="FF1A1A1A"/>
        <rFont val="Ebrima"/>
        <family val="0"/>
        <charset val="1"/>
      </rPr>
      <t xml:space="preserve">(</t>
    </r>
    <r>
      <rPr>
        <sz val="11"/>
        <color rgb="FF1A1A1A"/>
        <rFont val="FreeSans"/>
        <family val="2"/>
      </rPr>
      <t xml:space="preserve">ለምሳሌ </t>
    </r>
    <r>
      <rPr>
        <sz val="11"/>
        <color rgb="FF1A1A1A"/>
        <rFont val="Ebrima"/>
        <family val="0"/>
        <charset val="1"/>
      </rPr>
      <t xml:space="preserve">HH-MZ-001) </t>
    </r>
    <r>
      <rPr>
        <sz val="11"/>
        <color rgb="FF1A1A1A"/>
        <rFont val="FreeSans"/>
        <family val="2"/>
      </rPr>
      <t xml:space="preserve">በራሱ ይሰጣል። ይህንን ኮድ በንብረቱ ላይ በመለጠፊያ ወይም በቀለም ይጻፉበት።</t>
    </r>
  </si>
  <si>
    <r>
      <rPr>
        <sz val="11"/>
        <color rgb="FF1A1A1A"/>
        <rFont val="Ebrima"/>
        <family val="0"/>
        <charset val="1"/>
      </rPr>
      <t xml:space="preserve">8. </t>
    </r>
    <r>
      <rPr>
        <sz val="11"/>
        <color rgb="FF1A1A1A"/>
        <rFont val="FreeSans"/>
        <family val="2"/>
      </rPr>
      <t xml:space="preserve">የተበላሹ፣ ጥገና የሚያስፈልጋቸውና የጠፉ ንብረቶችም ይመዝገቡ — ሁኔታቸውን ብቻ በትክክል ይምረጡ።</t>
    </r>
  </si>
  <si>
    <r>
      <rPr>
        <sz val="11"/>
        <color rgb="FF1A1A1A"/>
        <rFont val="Ebrima"/>
        <family val="0"/>
        <charset val="1"/>
      </rPr>
      <t xml:space="preserve">9. </t>
    </r>
    <r>
      <rPr>
        <sz val="11"/>
        <color rgb="FF1A1A1A"/>
        <rFont val="FreeSans"/>
        <family val="2"/>
      </rPr>
      <t xml:space="preserve">ከሞላችሁ በኋላ ሰብሳቢውና ተረካቢው ይፈርሙ፤ ፋይሉን ለሒሳብና ንብረት ክፍል ይላኩ።</t>
    </r>
  </si>
  <si>
    <r>
      <rPr>
        <sz val="11"/>
        <color rgb="FF1A1A1A"/>
        <rFont val="Ebrima"/>
        <family val="0"/>
        <charset val="1"/>
      </rPr>
      <t xml:space="preserve">10. </t>
    </r>
    <r>
      <rPr>
        <sz val="11"/>
        <color rgb="FF1A1A1A"/>
        <rFont val="FreeSans"/>
        <family val="2"/>
      </rPr>
      <t xml:space="preserve">ፋይሉ ተቆልፏል፦ ሰማያዊ ሴሎችን ብቻ መሙላት ይቻላል። ቀመሮች፣ ርዕሶችና ገጾች አይቀየሩም፤ ረድፍ መጨመር ወይም መሰረዝ አያስፈልግም </t>
    </r>
    <r>
      <rPr>
        <sz val="11"/>
        <color rgb="FF1A1A1A"/>
        <rFont val="Ebrima"/>
        <family val="0"/>
        <charset val="1"/>
      </rPr>
      <t xml:space="preserve">(200 </t>
    </r>
    <r>
      <rPr>
        <sz val="11"/>
        <color rgb="FF1A1A1A"/>
        <rFont val="FreeSans"/>
        <family val="2"/>
      </rPr>
      <t xml:space="preserve">ረድፎች ተዘጋጅተዋል</t>
    </r>
    <r>
      <rPr>
        <sz val="11"/>
        <color rgb="FF1A1A1A"/>
        <rFont val="Ebrima"/>
        <family val="0"/>
        <charset val="1"/>
      </rPr>
      <t xml:space="preserve">)</t>
    </r>
    <r>
      <rPr>
        <sz val="11"/>
        <color rgb="FF1A1A1A"/>
        <rFont val="FreeSans"/>
        <family val="2"/>
      </rPr>
      <t xml:space="preserve">።</t>
    </r>
  </si>
  <si>
    <t xml:space="preserve">የተከተልናቸው የሒሳብ መርሆዎች</t>
  </si>
  <si>
    <r>
      <rPr>
        <sz val="11"/>
        <color rgb="FF1A1A1A"/>
        <rFont val="FreeSans"/>
        <family val="2"/>
      </rPr>
      <t xml:space="preserve">• የተገዛበት ዋጋ </t>
    </r>
    <r>
      <rPr>
        <sz val="11"/>
        <color rgb="FF1A1A1A"/>
        <rFont val="Ebrima"/>
        <family val="0"/>
        <charset val="1"/>
      </rPr>
      <t xml:space="preserve">(Historical cost)</t>
    </r>
    <r>
      <rPr>
        <sz val="11"/>
        <color rgb="FF1A1A1A"/>
        <rFont val="FreeSans"/>
        <family val="2"/>
      </rPr>
      <t xml:space="preserve">፦ ንብረት በተገዛበት ዋጋ ይመዘገባል፤ ስጦታ በተገመተ የገበያ ዋጋ </t>
    </r>
    <r>
      <rPr>
        <sz val="11"/>
        <color rgb="FF1A1A1A"/>
        <rFont val="Ebrima"/>
        <family val="0"/>
        <charset val="1"/>
      </rPr>
      <t xml:space="preserve">(fair value)</t>
    </r>
    <r>
      <rPr>
        <sz val="11"/>
        <color rgb="FF1A1A1A"/>
        <rFont val="FreeSans"/>
        <family val="2"/>
      </rPr>
      <t xml:space="preserve">።</t>
    </r>
  </si>
  <si>
    <r>
      <rPr>
        <sz val="11"/>
        <color rgb="FF1A1A1A"/>
        <rFont val="FreeSans"/>
        <family val="2"/>
      </rPr>
      <t xml:space="preserve">• ቀጥተኛ መስመር እርጅና </t>
    </r>
    <r>
      <rPr>
        <sz val="11"/>
        <color rgb="FF1A1A1A"/>
        <rFont val="Ebrima"/>
        <family val="0"/>
        <charset val="1"/>
      </rPr>
      <t xml:space="preserve">(Straight-line depreciation)</t>
    </r>
    <r>
      <rPr>
        <sz val="11"/>
        <color rgb="FF1A1A1A"/>
        <rFont val="FreeSans"/>
        <family val="2"/>
      </rPr>
      <t xml:space="preserve">፦ ዓመታዊ እርጅና </t>
    </r>
    <r>
      <rPr>
        <sz val="11"/>
        <color rgb="FF1A1A1A"/>
        <rFont val="Ebrima"/>
        <family val="0"/>
        <charset val="1"/>
      </rPr>
      <t xml:space="preserve">= </t>
    </r>
    <r>
      <rPr>
        <sz val="11"/>
        <color rgb="FF1A1A1A"/>
        <rFont val="FreeSans"/>
        <family val="2"/>
      </rPr>
      <t xml:space="preserve">ጠቅላላ ዋጋ </t>
    </r>
    <r>
      <rPr>
        <sz val="11"/>
        <color rgb="FF1A1A1A"/>
        <rFont val="Ebrima"/>
        <family val="0"/>
        <charset val="1"/>
      </rPr>
      <t xml:space="preserve">÷ </t>
    </r>
    <r>
      <rPr>
        <sz val="11"/>
        <color rgb="FF1A1A1A"/>
        <rFont val="FreeSans"/>
        <family val="2"/>
      </rPr>
      <t xml:space="preserve">የአገልግሎት ዘመን። የአገልግሎት ዘመን በ</t>
    </r>
    <r>
      <rPr>
        <sz val="11"/>
        <color rgb="FF1A1A1A"/>
        <rFont val="Ebrima"/>
        <family val="0"/>
        <charset val="1"/>
      </rPr>
      <t xml:space="preserve">«</t>
    </r>
    <r>
      <rPr>
        <sz val="11"/>
        <color rgb="FF1A1A1A"/>
        <rFont val="FreeSans"/>
        <family val="2"/>
      </rPr>
      <t xml:space="preserve">ዝርዝሮች</t>
    </r>
    <r>
      <rPr>
        <sz val="11"/>
        <color rgb="FF1A1A1A"/>
        <rFont val="Ebrima"/>
        <family val="0"/>
        <charset val="1"/>
      </rPr>
      <t xml:space="preserve">» </t>
    </r>
    <r>
      <rPr>
        <sz val="11"/>
        <color rgb="FF1A1A1A"/>
        <rFont val="FreeSans"/>
        <family val="2"/>
      </rPr>
      <t xml:space="preserve">ገጽ በምድብ ተቀምጧል።</t>
    </r>
  </si>
  <si>
    <r>
      <rPr>
        <sz val="11"/>
        <color rgb="FF1A1A1A"/>
        <rFont val="FreeSans"/>
        <family val="2"/>
      </rPr>
      <t xml:space="preserve">• የመዝገብ ዋጋ </t>
    </r>
    <r>
      <rPr>
        <sz val="11"/>
        <color rgb="FF1A1A1A"/>
        <rFont val="Ebrima"/>
        <family val="0"/>
        <charset val="1"/>
      </rPr>
      <t xml:space="preserve">(Book value) = </t>
    </r>
    <r>
      <rPr>
        <sz val="11"/>
        <color rgb="FF1A1A1A"/>
        <rFont val="FreeSans"/>
        <family val="2"/>
      </rPr>
      <t xml:space="preserve">ጠቅላላ ዋጋ − የተከማቸ እርጅና።</t>
    </r>
  </si>
  <si>
    <r>
      <rPr>
        <sz val="11"/>
        <color rgb="FF1A1A1A"/>
        <rFont val="FreeSans"/>
        <family val="2"/>
      </rPr>
      <t xml:space="preserve">• ፍጆታ ዕቃዎች </t>
    </r>
    <r>
      <rPr>
        <sz val="11"/>
        <color rgb="FF1A1A1A"/>
        <rFont val="Ebrima"/>
        <family val="0"/>
        <charset val="1"/>
      </rPr>
      <t xml:space="preserve">(</t>
    </r>
    <r>
      <rPr>
        <sz val="11"/>
        <color rgb="FF1A1A1A"/>
        <rFont val="FreeSans"/>
        <family val="2"/>
      </rPr>
      <t xml:space="preserve">ሻማ፣ ዕጣን፣ ወረቀት</t>
    </r>
    <r>
      <rPr>
        <sz val="11"/>
        <color rgb="FF1A1A1A"/>
        <rFont val="Ebrima"/>
        <family val="0"/>
        <charset val="1"/>
      </rPr>
      <t xml:space="preserve">) </t>
    </r>
    <r>
      <rPr>
        <sz val="11"/>
        <color rgb="FF1A1A1A"/>
        <rFont val="FreeSans"/>
        <family val="2"/>
      </rPr>
      <t xml:space="preserve">እንደ ቋሚ ንብረት አይቆጠሩም፤ እርጅና አይሰላላቸውም።</t>
    </r>
  </si>
  <si>
    <r>
      <rPr>
        <sz val="11"/>
        <color rgb="FF1A1A1A"/>
        <rFont val="FreeSans"/>
        <family val="2"/>
      </rPr>
      <t xml:space="preserve">• ተጠያቂነት </t>
    </r>
    <r>
      <rPr>
        <sz val="11"/>
        <color rgb="FF1A1A1A"/>
        <rFont val="Ebrima"/>
        <family val="0"/>
        <charset val="1"/>
      </rPr>
      <t xml:space="preserve">(Custodianship)</t>
    </r>
    <r>
      <rPr>
        <sz val="11"/>
        <color rgb="FF1A1A1A"/>
        <rFont val="FreeSans"/>
        <family val="2"/>
      </rPr>
      <t xml:space="preserve">፦ እያንዳንዱ ንብረት ስም የተጠቀሰ ኃላፊ </t>
    </r>
    <r>
      <rPr>
        <sz val="11"/>
        <color rgb="FF1A1A1A"/>
        <rFont val="Ebrima"/>
        <family val="0"/>
        <charset val="1"/>
      </rPr>
      <t xml:space="preserve">(</t>
    </r>
    <r>
      <rPr>
        <sz val="11"/>
        <color rgb="FF1A1A1A"/>
        <rFont val="FreeSans"/>
        <family val="2"/>
      </rPr>
      <t xml:space="preserve">ተረካቢ</t>
    </r>
    <r>
      <rPr>
        <sz val="11"/>
        <color rgb="FF1A1A1A"/>
        <rFont val="Ebrima"/>
        <family val="0"/>
        <charset val="1"/>
      </rPr>
      <t xml:space="preserve">) </t>
    </r>
    <r>
      <rPr>
        <sz val="11"/>
        <color rgb="FF1A1A1A"/>
        <rFont val="FreeSans"/>
        <family val="2"/>
      </rPr>
      <t xml:space="preserve">አለው።</t>
    </r>
  </si>
  <si>
    <r>
      <rPr>
        <sz val="11"/>
        <color rgb="FF1A1A1A"/>
        <rFont val="FreeSans"/>
        <family val="2"/>
      </rPr>
      <t xml:space="preserve">• ቆጠራ </t>
    </r>
    <r>
      <rPr>
        <sz val="11"/>
        <color rgb="FF1A1A1A"/>
        <rFont val="Ebrima"/>
        <family val="0"/>
        <charset val="1"/>
      </rPr>
      <t xml:space="preserve">(Physical count)</t>
    </r>
    <r>
      <rPr>
        <sz val="11"/>
        <color rgb="FF1A1A1A"/>
        <rFont val="FreeSans"/>
        <family val="2"/>
      </rPr>
      <t xml:space="preserve">፦ መዝገቡ በዓመት አንድ ጊዜ ከንብረቱ ጋር በአካል ይመሳከራል።</t>
    </r>
  </si>
  <si>
    <r>
      <rPr>
        <i val="true"/>
        <sz val="10"/>
        <color rgb="FF5B6B8C"/>
        <rFont val="FreeSans"/>
        <family val="2"/>
      </rPr>
      <t xml:space="preserve">ይህ መዝገብ በኋላ ወደ </t>
    </r>
    <r>
      <rPr>
        <i val="true"/>
        <sz val="10"/>
        <color rgb="FF5B6B8C"/>
        <rFont val="Ebrima"/>
        <family val="0"/>
        <charset val="1"/>
      </rPr>
      <t xml:space="preserve">Peachtree (Sage 50) </t>
    </r>
    <r>
      <rPr>
        <i val="true"/>
        <sz val="10"/>
        <color rgb="FF5B6B8C"/>
        <rFont val="FreeSans"/>
        <family val="2"/>
      </rPr>
      <t xml:space="preserve">የቋሚ ንብረት መዝገብ ለማስገባት ምቹ በሆነ መንገድ ተዘጋጅቷል።</t>
    </r>
  </si>
  <si>
    <t xml:space="preserve">እግዚአብሔር አገልግሎታችንን ይባርክ። — ሒሳብና ንብረት ክፍል</t>
  </si>
  <si>
    <r>
      <rPr>
        <b val="true"/>
        <sz val="13"/>
        <color rgb="FF06245C"/>
        <rFont val="FreeSans"/>
        <family val="2"/>
      </rPr>
      <t xml:space="preserve">የዝርዝር ምርጫዎችና መነሻ ግምቶች </t>
    </r>
    <r>
      <rPr>
        <b val="true"/>
        <sz val="13"/>
        <color rgb="FF06245C"/>
        <rFont val="Ebrima"/>
        <family val="0"/>
        <charset val="1"/>
      </rPr>
      <t xml:space="preserve">(</t>
    </r>
    <r>
      <rPr>
        <b val="true"/>
        <sz val="13"/>
        <color rgb="FF06245C"/>
        <rFont val="FreeSans"/>
        <family val="2"/>
      </rPr>
      <t xml:space="preserve">ሒሳብና ንብረት ክፍል ብቻ ያስተካክለው</t>
    </r>
    <r>
      <rPr>
        <b val="true"/>
        <sz val="13"/>
        <color rgb="FF06245C"/>
        <rFont val="Ebrima"/>
        <family val="0"/>
        <charset val="1"/>
      </rPr>
      <t xml:space="preserve">)</t>
    </r>
  </si>
  <si>
    <r>
      <rPr>
        <b val="true"/>
        <sz val="11"/>
        <color rgb="FF1A1A1A"/>
        <rFont val="FreeSans"/>
        <family val="2"/>
      </rPr>
      <t xml:space="preserve">የአሁኑ ዓመት </t>
    </r>
    <r>
      <rPr>
        <b val="true"/>
        <sz val="11"/>
        <color rgb="FF1A1A1A"/>
        <rFont val="Ebrima"/>
        <family val="0"/>
        <charset val="1"/>
      </rPr>
      <t xml:space="preserve">(</t>
    </r>
    <r>
      <rPr>
        <b val="true"/>
        <sz val="11"/>
        <color rgb="FF1A1A1A"/>
        <rFont val="FreeSans"/>
        <family val="2"/>
      </rPr>
      <t xml:space="preserve">ዓ</t>
    </r>
    <r>
      <rPr>
        <b val="true"/>
        <sz val="11"/>
        <color rgb="FF1A1A1A"/>
        <rFont val="Ebrima"/>
        <family val="0"/>
        <charset val="1"/>
      </rPr>
      <t xml:space="preserve">.</t>
    </r>
    <r>
      <rPr>
        <b val="true"/>
        <sz val="11"/>
        <color rgb="FF1A1A1A"/>
        <rFont val="FreeSans"/>
        <family val="2"/>
      </rPr>
      <t xml:space="preserve">ም</t>
    </r>
    <r>
      <rPr>
        <b val="true"/>
        <sz val="11"/>
        <color rgb="FF1A1A1A"/>
        <rFont val="Ebrima"/>
        <family val="0"/>
        <charset val="1"/>
      </rPr>
      <t xml:space="preserve">)</t>
    </r>
  </si>
  <si>
    <t xml:space="preserve">እርጅና ለማስላት የሚያገለግል፤ በየዓመቱ ይቀየራል።</t>
  </si>
  <si>
    <t xml:space="preserve">ፈዛዛ ቢጫ ያሉት ባዶ ሳጥኖች አዲስ ክፍል ወይም ምድብ ለመጨመር የተተዉ ናቸው።</t>
  </si>
  <si>
    <t xml:space="preserve">ክፍል</t>
  </si>
  <si>
    <t xml:space="preserve">የክፍል ኮድ</t>
  </si>
  <si>
    <t xml:space="preserve">ምድብ</t>
  </si>
  <si>
    <r>
      <rPr>
        <b val="true"/>
        <sz val="11"/>
        <color rgb="FFFFFFFF"/>
        <rFont val="FreeSans"/>
        <family val="2"/>
      </rPr>
      <t xml:space="preserve">የአገልግሎት ዘመን </t>
    </r>
    <r>
      <rPr>
        <b val="true"/>
        <sz val="11"/>
        <color rgb="FFFFFFFF"/>
        <rFont val="Ebrima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ዓመት</t>
    </r>
    <r>
      <rPr>
        <b val="true"/>
        <sz val="11"/>
        <color rgb="FFFFFFFF"/>
        <rFont val="Ebrima"/>
        <family val="0"/>
        <charset val="1"/>
      </rPr>
      <t xml:space="preserve">)</t>
    </r>
  </si>
  <si>
    <t xml:space="preserve">የተገኘበት መንገድ</t>
  </si>
  <si>
    <t xml:space="preserve">ሁኔታ</t>
  </si>
  <si>
    <t xml:space="preserve">መለኪያ</t>
  </si>
  <si>
    <t xml:space="preserve">ትምህርት ክፍል</t>
  </si>
  <si>
    <t xml:space="preserve">TM</t>
  </si>
  <si>
    <t xml:space="preserve">የዜማ መሣሪያዎች</t>
  </si>
  <si>
    <t xml:space="preserve">ግዢ</t>
  </si>
  <si>
    <t xml:space="preserve">አዲስ</t>
  </si>
  <si>
    <t xml:space="preserve">ቁጥር</t>
  </si>
  <si>
    <t xml:space="preserve">መዝሙር ክፍል</t>
  </si>
  <si>
    <t xml:space="preserve">MZ</t>
  </si>
  <si>
    <t xml:space="preserve">ኤሌክትሮኒክስ</t>
  </si>
  <si>
    <r>
      <rPr>
        <sz val="11"/>
        <color rgb="FF1A1A1A"/>
        <rFont val="FreeSans"/>
        <family val="2"/>
      </rPr>
      <t xml:space="preserve">ስጦታ </t>
    </r>
    <r>
      <rPr>
        <sz val="11"/>
        <color rgb="FF1A1A1A"/>
        <rFont val="Ebrima"/>
        <family val="0"/>
        <charset val="1"/>
      </rPr>
      <t xml:space="preserve">/ </t>
    </r>
    <r>
      <rPr>
        <sz val="11"/>
        <color rgb="FF1A1A1A"/>
        <rFont val="FreeSans"/>
        <family val="2"/>
      </rPr>
      <t xml:space="preserve">ልገሳ</t>
    </r>
  </si>
  <si>
    <t xml:space="preserve">ጥሩ</t>
  </si>
  <si>
    <t xml:space="preserve">ጥንድ</t>
  </si>
  <si>
    <t xml:space="preserve">ኪነ ጥበብ ክፍል</t>
  </si>
  <si>
    <t xml:space="preserve">KT</t>
  </si>
  <si>
    <t xml:space="preserve">የድምፅ መሣሪያዎች</t>
  </si>
  <si>
    <t xml:space="preserve">በአባላት የተሠራ</t>
  </si>
  <si>
    <t xml:space="preserve">መጠነኛ</t>
  </si>
  <si>
    <t xml:space="preserve">ስብስብ</t>
  </si>
  <si>
    <t xml:space="preserve">ሕጻናት ክፍል</t>
  </si>
  <si>
    <t xml:space="preserve">HS</t>
  </si>
  <si>
    <t xml:space="preserve">የቤት ዕቃዎች</t>
  </si>
  <si>
    <t xml:space="preserve">ከደብሩ የተሰጠ</t>
  </si>
  <si>
    <t xml:space="preserve">ጥገና ያስፈልገዋል</t>
  </si>
  <si>
    <t xml:space="preserve">ጥቅል</t>
  </si>
  <si>
    <t xml:space="preserve">አባላት ጉዳይ ክፍል</t>
  </si>
  <si>
    <t xml:space="preserve">AG</t>
  </si>
  <si>
    <t xml:space="preserve">መጻሕፍትና የትምህርት መርጃ</t>
  </si>
  <si>
    <t xml:space="preserve">የተበላሸ</t>
  </si>
  <si>
    <t xml:space="preserve">ሜትር</t>
  </si>
  <si>
    <t xml:space="preserve">ልማትና ገቢ ማስገኛ ክፍል</t>
  </si>
  <si>
    <t xml:space="preserve">LM</t>
  </si>
  <si>
    <r>
      <rPr>
        <sz val="11"/>
        <color rgb="FF1A1A1A"/>
        <rFont val="FreeSans"/>
        <family val="2"/>
      </rPr>
      <t xml:space="preserve">አልባሳት </t>
    </r>
    <r>
      <rPr>
        <sz val="11"/>
        <color rgb="FF1A1A1A"/>
        <rFont val="Ebrima"/>
        <family val="0"/>
        <charset val="1"/>
      </rPr>
      <t xml:space="preserve">(</t>
    </r>
    <r>
      <rPr>
        <sz val="11"/>
        <color rgb="FF1A1A1A"/>
        <rFont val="FreeSans"/>
        <family val="2"/>
      </rPr>
      <t xml:space="preserve">ካባ፣ ቀሚስ</t>
    </r>
    <r>
      <rPr>
        <sz val="11"/>
        <color rgb="FF1A1A1A"/>
        <rFont val="Ebrima"/>
        <family val="0"/>
        <charset val="1"/>
      </rPr>
      <t xml:space="preserve">)</t>
    </r>
  </si>
  <si>
    <t xml:space="preserve">የጠፋ</t>
  </si>
  <si>
    <t xml:space="preserve">ኪሎ</t>
  </si>
  <si>
    <t xml:space="preserve">ሚዲያና ቴክኖሎጂ ክፍል</t>
  </si>
  <si>
    <t xml:space="preserve">MD</t>
  </si>
  <si>
    <t xml:space="preserve">የዲኮር ዕቃዎች</t>
  </si>
  <si>
    <t xml:space="preserve">ሒሳብና ንብረት ክፍል</t>
  </si>
  <si>
    <t xml:space="preserve">HN</t>
  </si>
  <si>
    <t xml:space="preserve">የጽሕፈት መሣሪያዎች</t>
  </si>
  <si>
    <t xml:space="preserve">ጽሕፈት ቤት</t>
  </si>
  <si>
    <t xml:space="preserve">TS</t>
  </si>
  <si>
    <t xml:space="preserve">ፍጆታ ዕቃዎች</t>
  </si>
  <si>
    <t xml:space="preserve">የዲኮር ኮሚቴ</t>
  </si>
  <si>
    <t xml:space="preserve">DK</t>
  </si>
  <si>
    <r>
      <rPr>
        <i val="true"/>
        <sz val="10"/>
        <color rgb="FF5B6B8C"/>
        <rFont val="FreeSans"/>
        <family val="2"/>
      </rPr>
      <t xml:space="preserve">የአገልግሎት ዘመን ግምት ነው፤ በቀጥተኛ መስመር </t>
    </r>
    <r>
      <rPr>
        <i val="true"/>
        <sz val="10"/>
        <color rgb="FF5B6B8C"/>
        <rFont val="Ebrima"/>
        <family val="0"/>
        <charset val="1"/>
      </rPr>
      <t xml:space="preserve">(straight-line) </t>
    </r>
    <r>
      <rPr>
        <i val="true"/>
        <sz val="10"/>
        <color rgb="FF5B6B8C"/>
        <rFont val="FreeSans"/>
        <family val="2"/>
      </rPr>
      <t xml:space="preserve">የእርጅና ስሌት ይጠቀማል። ፍጆታ ዕቃዎች </t>
    </r>
    <r>
      <rPr>
        <i val="true"/>
        <sz val="10"/>
        <color rgb="FF5B6B8C"/>
        <rFont val="Ebrima"/>
        <family val="0"/>
        <charset val="1"/>
      </rPr>
      <t xml:space="preserve">(</t>
    </r>
    <r>
      <rPr>
        <i val="true"/>
        <sz val="10"/>
        <color rgb="FF5B6B8C"/>
        <rFont val="FreeSans"/>
        <family val="2"/>
      </rPr>
      <t xml:space="preserve">ሻማ፣ ዕጣን፣ ወረቀት</t>
    </r>
    <r>
      <rPr>
        <i val="true"/>
        <sz val="10"/>
        <color rgb="FF5B6B8C"/>
        <rFont val="Ebrima"/>
        <family val="0"/>
        <charset val="1"/>
      </rPr>
      <t xml:space="preserve">) </t>
    </r>
    <r>
      <rPr>
        <i val="true"/>
        <sz val="10"/>
        <color rgb="FF5B6B8C"/>
        <rFont val="FreeSans"/>
        <family val="2"/>
      </rPr>
      <t xml:space="preserve">እርጅና አይሰላላቸውም።</t>
    </r>
  </si>
  <si>
    <t xml:space="preserve">የሐመረ ሕይወት ሰንበት ትምህርት ቤት — የንብረት መመዝገቢያ ቅጽ</t>
  </si>
  <si>
    <r>
      <rPr>
        <sz val="10"/>
        <color rgb="FF5B6B8C"/>
        <rFont val="FreeSans"/>
        <family val="2"/>
      </rPr>
      <t xml:space="preserve">በኢትዮጵያ ኦርቶዶክስ ተዋሕዶ ቤተ ክርስቲያን </t>
    </r>
    <r>
      <rPr>
        <sz val="10"/>
        <color rgb="FF5B6B8C"/>
        <rFont val="Ebrima"/>
        <family val="0"/>
        <charset val="1"/>
      </rPr>
      <t xml:space="preserve">· </t>
    </r>
    <r>
      <rPr>
        <sz val="10"/>
        <color rgb="FF5B6B8C"/>
        <rFont val="FreeSans"/>
        <family val="2"/>
      </rPr>
      <t xml:space="preserve">ሳሎ ደብረ ጸሐይ ቅዱስ ጊዮርጊስ ቤተ ክርስቲያን </t>
    </r>
    <r>
      <rPr>
        <sz val="10"/>
        <color rgb="FF5B6B8C"/>
        <rFont val="Ebrima"/>
        <family val="0"/>
        <charset val="1"/>
      </rPr>
      <t xml:space="preserve">· Hamere Hiwot Sabbath School</t>
    </r>
  </si>
  <si>
    <r>
      <rPr>
        <i val="true"/>
        <sz val="9"/>
        <color rgb="FF5B6B8C"/>
        <rFont val="FreeSans"/>
        <family val="2"/>
      </rPr>
      <t xml:space="preserve">ሰማያዊ ፊደል </t>
    </r>
    <r>
      <rPr>
        <i val="true"/>
        <sz val="9"/>
        <color rgb="FF5B6B8C"/>
        <rFont val="Ebrima"/>
        <family val="0"/>
        <charset val="1"/>
      </rPr>
      <t xml:space="preserve">= </t>
    </r>
    <r>
      <rPr>
        <i val="true"/>
        <sz val="9"/>
        <color rgb="FF5B6B8C"/>
        <rFont val="FreeSans"/>
        <family val="2"/>
      </rPr>
      <t xml:space="preserve">በክፍሉ የሚሞላ </t>
    </r>
    <r>
      <rPr>
        <i val="true"/>
        <sz val="9"/>
        <color rgb="FF5B6B8C"/>
        <rFont val="Ebrima"/>
        <family val="0"/>
        <charset val="1"/>
      </rPr>
      <t xml:space="preserve">· </t>
    </r>
    <r>
      <rPr>
        <i val="true"/>
        <sz val="9"/>
        <color rgb="FF5B6B8C"/>
        <rFont val="FreeSans"/>
        <family val="2"/>
      </rPr>
      <t xml:space="preserve">ጥቁር ፊደል </t>
    </r>
    <r>
      <rPr>
        <i val="true"/>
        <sz val="9"/>
        <color rgb="FF5B6B8C"/>
        <rFont val="Ebrima"/>
        <family val="0"/>
        <charset val="1"/>
      </rPr>
      <t xml:space="preserve">= </t>
    </r>
    <r>
      <rPr>
        <i val="true"/>
        <sz val="9"/>
        <color rgb="FF5B6B8C"/>
        <rFont val="FreeSans"/>
        <family val="2"/>
      </rPr>
      <t xml:space="preserve">በራሱ የሚሰላ </t>
    </r>
    <r>
      <rPr>
        <i val="true"/>
        <sz val="9"/>
        <color rgb="FF5B6B8C"/>
        <rFont val="Ebrima"/>
        <family val="0"/>
        <charset val="1"/>
      </rPr>
      <t xml:space="preserve">(</t>
    </r>
    <r>
      <rPr>
        <i val="true"/>
        <sz val="9"/>
        <color rgb="FF5B6B8C"/>
        <rFont val="FreeSans"/>
        <family val="2"/>
      </rPr>
      <t xml:space="preserve">የተቆለፈ</t>
    </r>
    <r>
      <rPr>
        <i val="true"/>
        <sz val="9"/>
        <color rgb="FF5B6B8C"/>
        <rFont val="Ebrima"/>
        <family val="0"/>
        <charset val="1"/>
      </rPr>
      <t xml:space="preserve">) · </t>
    </r>
    <r>
      <rPr>
        <i val="true"/>
        <sz val="9"/>
        <color rgb="FF5B6B8C"/>
        <rFont val="FreeSans"/>
        <family val="2"/>
      </rPr>
      <t xml:space="preserve">ግራጫው </t>
    </r>
    <r>
      <rPr>
        <i val="true"/>
        <sz val="9"/>
        <color rgb="FF5B6B8C"/>
        <rFont val="Ebrima"/>
        <family val="0"/>
        <charset val="1"/>
      </rPr>
      <t xml:space="preserve">«</t>
    </r>
    <r>
      <rPr>
        <i val="true"/>
        <sz val="9"/>
        <color rgb="FF5B6B8C"/>
        <rFont val="FreeSans"/>
        <family val="2"/>
      </rPr>
      <t xml:space="preserve">ምሳሌ</t>
    </r>
    <r>
      <rPr>
        <i val="true"/>
        <sz val="9"/>
        <color rgb="FF5B6B8C"/>
        <rFont val="Ebrima"/>
        <family val="0"/>
        <charset val="1"/>
      </rPr>
      <t xml:space="preserve">» </t>
    </r>
    <r>
      <rPr>
        <i val="true"/>
        <sz val="9"/>
        <color rgb="FF5B6B8C"/>
        <rFont val="FreeSans"/>
        <family val="2"/>
      </rPr>
      <t xml:space="preserve">ረድፍ ማሳያ ብቻ ነው</t>
    </r>
  </si>
  <si>
    <t xml:space="preserve">ያስመዘገበው ክፍል፦</t>
  </si>
  <si>
    <t xml:space="preserve">የተመዘገበበት ቀን፦</t>
  </si>
  <si>
    <t xml:space="preserve">የክፍሉ ሰብሳቢ ስም፦</t>
  </si>
  <si>
    <r>
      <rPr>
        <b val="true"/>
        <sz val="11"/>
        <color rgb="FF06245C"/>
        <rFont val="FreeSans"/>
        <family val="2"/>
      </rPr>
      <t xml:space="preserve">ያረጋገጠው </t>
    </r>
    <r>
      <rPr>
        <b val="true"/>
        <sz val="11"/>
        <color rgb="FF06245C"/>
        <rFont val="Ebrima"/>
        <family val="0"/>
        <charset val="1"/>
      </rPr>
      <t xml:space="preserve">(</t>
    </r>
    <r>
      <rPr>
        <b val="true"/>
        <sz val="11"/>
        <color rgb="FF06245C"/>
        <rFont val="FreeSans"/>
        <family val="2"/>
      </rPr>
      <t xml:space="preserve">ሒሳብና ንብረት</t>
    </r>
    <r>
      <rPr>
        <b val="true"/>
        <sz val="11"/>
        <color rgb="FF06245C"/>
        <rFont val="Ebrima"/>
        <family val="0"/>
        <charset val="1"/>
      </rPr>
      <t xml:space="preserve">)</t>
    </r>
    <r>
      <rPr>
        <b val="true"/>
        <sz val="11"/>
        <color rgb="FF06245C"/>
        <rFont val="FreeSans"/>
        <family val="2"/>
      </rPr>
      <t xml:space="preserve">፦</t>
    </r>
  </si>
  <si>
    <t xml:space="preserve">ስልክ፦</t>
  </si>
  <si>
    <t xml:space="preserve">ፊርማ፦</t>
  </si>
  <si>
    <r>
      <rPr>
        <b val="true"/>
        <sz val="10"/>
        <color rgb="FFFFFFFF"/>
        <rFont val="FreeSans"/>
        <family val="2"/>
      </rPr>
      <t xml:space="preserve">ተ</t>
    </r>
    <r>
      <rPr>
        <b val="true"/>
        <sz val="10"/>
        <color rgb="FFFFFFFF"/>
        <rFont val="Ebrima"/>
        <family val="0"/>
        <charset val="1"/>
      </rPr>
      <t xml:space="preserve">.</t>
    </r>
    <r>
      <rPr>
        <b val="true"/>
        <sz val="10"/>
        <color rgb="FFFFFFFF"/>
        <rFont val="FreeSans"/>
        <family val="2"/>
      </rPr>
      <t xml:space="preserve">ቁ</t>
    </r>
  </si>
  <si>
    <t xml:space="preserve">የንብረት ኮድ</t>
  </si>
  <si>
    <t xml:space="preserve">የንብረቱ ስም</t>
  </si>
  <si>
    <r>
      <rPr>
        <b val="true"/>
        <sz val="10"/>
        <color rgb="FFFFFFFF"/>
        <rFont val="FreeSans"/>
        <family val="2"/>
      </rPr>
      <t xml:space="preserve">ዝርዝር መግለጫ </t>
    </r>
    <r>
      <rPr>
        <b val="true"/>
        <sz val="10"/>
        <color rgb="FFFFFFFF"/>
        <rFont val="Ebrima"/>
        <family val="0"/>
        <charset val="1"/>
      </rPr>
      <t xml:space="preserve">(</t>
    </r>
    <r>
      <rPr>
        <b val="true"/>
        <sz val="10"/>
        <color rgb="FFFFFFFF"/>
        <rFont val="FreeSans"/>
        <family val="2"/>
      </rPr>
      <t xml:space="preserve">ዓይነት፣ ሞዴል፣ ቀለም</t>
    </r>
    <r>
      <rPr>
        <b val="true"/>
        <sz val="10"/>
        <color rgb="FFFFFFFF"/>
        <rFont val="Ebrima"/>
        <family val="0"/>
        <charset val="1"/>
      </rPr>
      <t xml:space="preserve">)</t>
    </r>
  </si>
  <si>
    <t xml:space="preserve">ባለቤት ክፍል</t>
  </si>
  <si>
    <t xml:space="preserve">ብዛት</t>
  </si>
  <si>
    <r>
      <rPr>
        <b val="true"/>
        <sz val="10"/>
        <color rgb="FFFFFFFF"/>
        <rFont val="FreeSans"/>
        <family val="2"/>
      </rPr>
      <t xml:space="preserve">የአንዱ ዋጋ </t>
    </r>
    <r>
      <rPr>
        <b val="true"/>
        <sz val="10"/>
        <color rgb="FFFFFFFF"/>
        <rFont val="Ebrima"/>
        <family val="0"/>
        <charset val="1"/>
      </rPr>
      <t xml:space="preserve">(</t>
    </r>
    <r>
      <rPr>
        <b val="true"/>
        <sz val="10"/>
        <color rgb="FFFFFFFF"/>
        <rFont val="FreeSans"/>
        <family val="2"/>
      </rPr>
      <t xml:space="preserve">ብር</t>
    </r>
    <r>
      <rPr>
        <b val="true"/>
        <sz val="10"/>
        <color rgb="FFFFFFFF"/>
        <rFont val="Ebrima"/>
        <family val="0"/>
        <charset val="1"/>
      </rPr>
      <t xml:space="preserve">)</t>
    </r>
  </si>
  <si>
    <r>
      <rPr>
        <b val="true"/>
        <sz val="10"/>
        <color rgb="FFFFFFFF"/>
        <rFont val="FreeSans"/>
        <family val="2"/>
      </rPr>
      <t xml:space="preserve">ጠቅላላ ዋጋ </t>
    </r>
    <r>
      <rPr>
        <b val="true"/>
        <sz val="10"/>
        <color rgb="FFFFFFFF"/>
        <rFont val="Ebrima"/>
        <family val="0"/>
        <charset val="1"/>
      </rPr>
      <t xml:space="preserve">(</t>
    </r>
    <r>
      <rPr>
        <b val="true"/>
        <sz val="10"/>
        <color rgb="FFFFFFFF"/>
        <rFont val="FreeSans"/>
        <family val="2"/>
      </rPr>
      <t xml:space="preserve">ብር</t>
    </r>
    <r>
      <rPr>
        <b val="true"/>
        <sz val="10"/>
        <color rgb="FFFFFFFF"/>
        <rFont val="Ebrima"/>
        <family val="0"/>
        <charset val="1"/>
      </rPr>
      <t xml:space="preserve">)</t>
    </r>
  </si>
  <si>
    <r>
      <rPr>
        <b val="true"/>
        <sz val="10"/>
        <color rgb="FFFFFFFF"/>
        <rFont val="FreeSans"/>
        <family val="2"/>
      </rPr>
      <t xml:space="preserve">የተገኘበት ዓ</t>
    </r>
    <r>
      <rPr>
        <b val="true"/>
        <sz val="10"/>
        <color rgb="FFFFFFFF"/>
        <rFont val="Ebrima"/>
        <family val="0"/>
        <charset val="1"/>
      </rPr>
      <t xml:space="preserve">.</t>
    </r>
    <r>
      <rPr>
        <b val="true"/>
        <sz val="10"/>
        <color rgb="FFFFFFFF"/>
        <rFont val="FreeSans"/>
        <family val="2"/>
      </rPr>
      <t xml:space="preserve">ም</t>
    </r>
  </si>
  <si>
    <t xml:space="preserve">ያለበት ሁኔታ</t>
  </si>
  <si>
    <t xml:space="preserve">የሚገኝበት ቦታ</t>
  </si>
  <si>
    <r>
      <rPr>
        <b val="true"/>
        <sz val="10"/>
        <color rgb="FFFFFFFF"/>
        <rFont val="FreeSans"/>
        <family val="2"/>
      </rPr>
      <t xml:space="preserve">ኃላፊ </t>
    </r>
    <r>
      <rPr>
        <b val="true"/>
        <sz val="10"/>
        <color rgb="FFFFFFFF"/>
        <rFont val="Ebrima"/>
        <family val="0"/>
        <charset val="1"/>
      </rPr>
      <t xml:space="preserve">(</t>
    </r>
    <r>
      <rPr>
        <b val="true"/>
        <sz val="10"/>
        <color rgb="FFFFFFFF"/>
        <rFont val="FreeSans"/>
        <family val="2"/>
      </rPr>
      <t xml:space="preserve">ተረካቢ</t>
    </r>
    <r>
      <rPr>
        <b val="true"/>
        <sz val="10"/>
        <color rgb="FFFFFFFF"/>
        <rFont val="Ebrima"/>
        <family val="0"/>
        <charset val="1"/>
      </rPr>
      <t xml:space="preserve">)</t>
    </r>
  </si>
  <si>
    <r>
      <rPr>
        <b val="true"/>
        <sz val="10"/>
        <color rgb="FFFFFFFF"/>
        <rFont val="FreeSans"/>
        <family val="2"/>
      </rPr>
      <t xml:space="preserve">የአገልግሎት ዘመን </t>
    </r>
    <r>
      <rPr>
        <b val="true"/>
        <sz val="10"/>
        <color rgb="FFFFFFFF"/>
        <rFont val="Ebrima"/>
        <family val="0"/>
        <charset val="1"/>
      </rPr>
      <t xml:space="preserve">(</t>
    </r>
    <r>
      <rPr>
        <b val="true"/>
        <sz val="10"/>
        <color rgb="FFFFFFFF"/>
        <rFont val="FreeSans"/>
        <family val="2"/>
      </rPr>
      <t xml:space="preserve">ዓመት</t>
    </r>
    <r>
      <rPr>
        <b val="true"/>
        <sz val="10"/>
        <color rgb="FFFFFFFF"/>
        <rFont val="Ebrima"/>
        <family val="0"/>
        <charset val="1"/>
      </rPr>
      <t xml:space="preserve">)</t>
    </r>
  </si>
  <si>
    <r>
      <rPr>
        <b val="true"/>
        <sz val="10"/>
        <color rgb="FFFFFFFF"/>
        <rFont val="FreeSans"/>
        <family val="2"/>
      </rPr>
      <t xml:space="preserve">ዓመታዊ እርጅና </t>
    </r>
    <r>
      <rPr>
        <b val="true"/>
        <sz val="10"/>
        <color rgb="FFFFFFFF"/>
        <rFont val="Ebrima"/>
        <family val="0"/>
        <charset val="1"/>
      </rPr>
      <t xml:space="preserve">(</t>
    </r>
    <r>
      <rPr>
        <b val="true"/>
        <sz val="10"/>
        <color rgb="FFFFFFFF"/>
        <rFont val="FreeSans"/>
        <family val="2"/>
      </rPr>
      <t xml:space="preserve">ብር</t>
    </r>
    <r>
      <rPr>
        <b val="true"/>
        <sz val="10"/>
        <color rgb="FFFFFFFF"/>
        <rFont val="Ebrima"/>
        <family val="0"/>
        <charset val="1"/>
      </rPr>
      <t xml:space="preserve">)</t>
    </r>
  </si>
  <si>
    <r>
      <rPr>
        <b val="true"/>
        <sz val="10"/>
        <color rgb="FFFFFFFF"/>
        <rFont val="FreeSans"/>
        <family val="2"/>
      </rPr>
      <t xml:space="preserve">የተከማቸ እርጅና </t>
    </r>
    <r>
      <rPr>
        <b val="true"/>
        <sz val="10"/>
        <color rgb="FFFFFFFF"/>
        <rFont val="Ebrima"/>
        <family val="0"/>
        <charset val="1"/>
      </rPr>
      <t xml:space="preserve">(</t>
    </r>
    <r>
      <rPr>
        <b val="true"/>
        <sz val="10"/>
        <color rgb="FFFFFFFF"/>
        <rFont val="FreeSans"/>
        <family val="2"/>
      </rPr>
      <t xml:space="preserve">ብር</t>
    </r>
    <r>
      <rPr>
        <b val="true"/>
        <sz val="10"/>
        <color rgb="FFFFFFFF"/>
        <rFont val="Ebrima"/>
        <family val="0"/>
        <charset val="1"/>
      </rPr>
      <t xml:space="preserve">)</t>
    </r>
  </si>
  <si>
    <r>
      <rPr>
        <b val="true"/>
        <sz val="10"/>
        <color rgb="FFFFFFFF"/>
        <rFont val="FreeSans"/>
        <family val="2"/>
      </rPr>
      <t xml:space="preserve">የመዝገብ ዋጋ </t>
    </r>
    <r>
      <rPr>
        <b val="true"/>
        <sz val="10"/>
        <color rgb="FFFFFFFF"/>
        <rFont val="Ebrima"/>
        <family val="0"/>
        <charset val="1"/>
      </rPr>
      <t xml:space="preserve">(</t>
    </r>
    <r>
      <rPr>
        <b val="true"/>
        <sz val="10"/>
        <color rgb="FFFFFFFF"/>
        <rFont val="FreeSans"/>
        <family val="2"/>
      </rPr>
      <t xml:space="preserve">ብር</t>
    </r>
    <r>
      <rPr>
        <b val="true"/>
        <sz val="10"/>
        <color rgb="FFFFFFFF"/>
        <rFont val="Ebrima"/>
        <family val="0"/>
        <charset val="1"/>
      </rPr>
      <t xml:space="preserve">)</t>
    </r>
  </si>
  <si>
    <t xml:space="preserve">ማስታወሻ</t>
  </si>
  <si>
    <t xml:space="preserve">ምሳሌ</t>
  </si>
  <si>
    <t xml:space="preserve">HH-MZ-000</t>
  </si>
  <si>
    <t xml:space="preserve">ከበሮ</t>
  </si>
  <si>
    <t xml:space="preserve">ትልቅ፣ የቆዳ፣ ቡናማ</t>
  </si>
  <si>
    <t xml:space="preserve">የመዝሙር ክፍል ቁም ሣጥን</t>
  </si>
  <si>
    <r>
      <rPr>
        <i val="true"/>
        <sz val="10"/>
        <color rgb="FF5B6B8C"/>
        <rFont val="FreeSans"/>
        <family val="2"/>
      </rPr>
      <t xml:space="preserve">ዲ</t>
    </r>
    <r>
      <rPr>
        <i val="true"/>
        <sz val="10"/>
        <color rgb="FF5B6B8C"/>
        <rFont val="Ebrima"/>
        <family val="0"/>
        <charset val="1"/>
      </rPr>
      <t xml:space="preserve">/</t>
    </r>
    <r>
      <rPr>
        <i val="true"/>
        <sz val="10"/>
        <color rgb="FF5B6B8C"/>
        <rFont val="FreeSans"/>
        <family val="2"/>
      </rPr>
      <t xml:space="preserve">ን ዮሐንስ ተስፋዬ</t>
    </r>
  </si>
  <si>
    <t xml:space="preserve">ይህ ረድፍ ምሳሌ ብቻ ነው፤ በድምር አይቆጠርም</t>
  </si>
  <si>
    <t xml:space="preserve">ድምር</t>
  </si>
  <si>
    <r>
      <rPr>
        <b val="true"/>
        <sz val="15"/>
        <color rgb="FFFFFFFF"/>
        <rFont val="FreeSans"/>
        <family val="2"/>
      </rPr>
      <t xml:space="preserve">የንብረት ማጠቃለያ በክፍል </t>
    </r>
    <r>
      <rPr>
        <b val="true"/>
        <sz val="15"/>
        <color rgb="FFFFFFFF"/>
        <rFont val="Ebrima"/>
        <family val="0"/>
        <charset val="1"/>
      </rPr>
      <t xml:space="preserve">(</t>
    </r>
    <r>
      <rPr>
        <b val="true"/>
        <sz val="15"/>
        <color rgb="FFFFFFFF"/>
        <rFont val="FreeSans"/>
        <family val="2"/>
      </rPr>
      <t xml:space="preserve">በራሱ ይሰላል</t>
    </r>
    <r>
      <rPr>
        <b val="true"/>
        <sz val="15"/>
        <color rgb="FFFFFFFF"/>
        <rFont val="Ebrima"/>
        <family val="0"/>
        <charset val="1"/>
      </rPr>
      <t xml:space="preserve">)</t>
    </r>
  </si>
  <si>
    <t xml:space="preserve">የንብረት ዓይነቶች</t>
  </si>
  <si>
    <t xml:space="preserve">ጠቅላላ ብዛት</t>
  </si>
  <si>
    <r>
      <rPr>
        <b val="true"/>
        <sz val="11"/>
        <color rgb="FFFFFFFF"/>
        <rFont val="FreeSans"/>
        <family val="2"/>
      </rPr>
      <t xml:space="preserve">ጠቅላላ ዋጋ </t>
    </r>
    <r>
      <rPr>
        <b val="true"/>
        <sz val="11"/>
        <color rgb="FFFFFFFF"/>
        <rFont val="Ebrima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ብር</t>
    </r>
    <r>
      <rPr>
        <b val="true"/>
        <sz val="11"/>
        <color rgb="FFFFFFFF"/>
        <rFont val="Ebrima"/>
        <family val="0"/>
        <charset val="1"/>
      </rPr>
      <t xml:space="preserve">)</t>
    </r>
  </si>
  <si>
    <r>
      <rPr>
        <b val="true"/>
        <sz val="11"/>
        <color rgb="FFFFFFFF"/>
        <rFont val="FreeSans"/>
        <family val="2"/>
      </rPr>
      <t xml:space="preserve">የመዝገብ ዋጋ </t>
    </r>
    <r>
      <rPr>
        <b val="true"/>
        <sz val="11"/>
        <color rgb="FFFFFFFF"/>
        <rFont val="Ebrima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ብር</t>
    </r>
    <r>
      <rPr>
        <b val="true"/>
        <sz val="11"/>
        <color rgb="FFFFFFFF"/>
        <rFont val="Ebrima"/>
        <family val="0"/>
        <charset val="1"/>
      </rPr>
      <t xml:space="preserve">)</t>
    </r>
  </si>
  <si>
    <r>
      <rPr>
        <b val="true"/>
        <sz val="11"/>
        <color rgb="FFFFFFFF"/>
        <rFont val="FreeSans"/>
        <family val="2"/>
      </rPr>
      <t xml:space="preserve">የተበላሹ </t>
    </r>
    <r>
      <rPr>
        <b val="true"/>
        <sz val="11"/>
        <color rgb="FFFFFFFF"/>
        <rFont val="Ebrima"/>
        <family val="0"/>
        <charset val="1"/>
      </rPr>
      <t xml:space="preserve">/ </t>
    </r>
    <r>
      <rPr>
        <b val="true"/>
        <sz val="11"/>
        <color rgb="FFFFFFFF"/>
        <rFont val="FreeSans"/>
        <family val="2"/>
      </rPr>
      <t xml:space="preserve">የጠፉ</t>
    </r>
  </si>
  <si>
    <t xml:space="preserve">በምድብ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</si>
</sst>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6245C"/>
      <name val="FreeSans"/>
      <family val="2"/>
    </font>
    <font>
      <b val="true"/>
      <sz val="12"/>
      <color rgb="FF06245C"/>
      <name val="FreeSans"/>
      <family val="2"/>
    </font>
    <font>
      <b val="true"/>
      <sz val="12"/>
      <color rgb="FF06245C"/>
      <name val="Ebrima"/>
      <family val="0"/>
      <charset val="1"/>
    </font>
    <font>
      <b val="true"/>
      <sz val="12"/>
      <color rgb="FF1A1A1A"/>
      <name val="FreeSans"/>
      <family val="2"/>
    </font>
    <font>
      <sz val="11"/>
      <color rgb="FF1A1A1A"/>
      <name val="FreeSans"/>
      <family val="2"/>
    </font>
    <font>
      <sz val="11"/>
      <color rgb="FF1A1A1A"/>
      <name val="Ebrima"/>
      <family val="0"/>
      <charset val="1"/>
    </font>
    <font>
      <b val="true"/>
      <sz val="13"/>
      <color rgb="FF06245C"/>
      <name val="FreeSans"/>
      <family val="2"/>
    </font>
    <font>
      <b val="true"/>
      <sz val="13"/>
      <color rgb="FF06245C"/>
      <name val="Ebrima"/>
      <family val="0"/>
      <charset val="1"/>
    </font>
    <font>
      <i val="true"/>
      <sz val="10"/>
      <color rgb="FF5B6B8C"/>
      <name val="FreeSans"/>
      <family val="2"/>
    </font>
    <font>
      <i val="true"/>
      <sz val="10"/>
      <color rgb="FF5B6B8C"/>
      <name val="Ebrima"/>
      <family val="0"/>
      <charset val="1"/>
    </font>
    <font>
      <b val="true"/>
      <sz val="11"/>
      <color rgb="FF1A1A1A"/>
      <name val="FreeSans"/>
      <family val="2"/>
    </font>
    <font>
      <b val="true"/>
      <sz val="11"/>
      <color rgb="FF1A1A1A"/>
      <name val="Ebrima"/>
      <family val="0"/>
      <charset val="1"/>
    </font>
    <font>
      <b val="true"/>
      <sz val="11"/>
      <color rgb="FF0000FF"/>
      <name val="Ebrima"/>
      <family val="0"/>
      <charset val="1"/>
    </font>
    <font>
      <b val="true"/>
      <sz val="11"/>
      <color rgb="FFFFFFFF"/>
      <name val="FreeSans"/>
      <family val="2"/>
    </font>
    <font>
      <b val="true"/>
      <sz val="11"/>
      <color rgb="FFFFFFFF"/>
      <name val="Ebrima"/>
      <family val="0"/>
      <charset val="1"/>
    </font>
    <font>
      <sz val="11"/>
      <color rgb="FF0000FF"/>
      <name val="Ebrima"/>
      <family val="0"/>
      <charset val="1"/>
    </font>
    <font>
      <b val="true"/>
      <sz val="16"/>
      <color rgb="FFFFFFFF"/>
      <name val="FreeSans"/>
      <family val="2"/>
    </font>
    <font>
      <sz val="10"/>
      <color rgb="FF5B6B8C"/>
      <name val="FreeSans"/>
      <family val="2"/>
    </font>
    <font>
      <sz val="10"/>
      <color rgb="FF5B6B8C"/>
      <name val="Ebrima"/>
      <family val="0"/>
      <charset val="1"/>
    </font>
    <font>
      <i val="true"/>
      <sz val="9"/>
      <color rgb="FF5B6B8C"/>
      <name val="FreeSans"/>
      <family val="2"/>
    </font>
    <font>
      <i val="true"/>
      <sz val="9"/>
      <color rgb="FF5B6B8C"/>
      <name val="Ebrima"/>
      <family val="0"/>
      <charset val="1"/>
    </font>
    <font>
      <b val="true"/>
      <sz val="11"/>
      <color rgb="FF06245C"/>
      <name val="Ebrima"/>
      <family val="0"/>
      <charset val="1"/>
    </font>
    <font>
      <b val="true"/>
      <sz val="10"/>
      <color rgb="FFFFFFFF"/>
      <name val="FreeSans"/>
      <family val="2"/>
    </font>
    <font>
      <b val="true"/>
      <sz val="10"/>
      <color rgb="FFFFFFFF"/>
      <name val="Ebrima"/>
      <family val="0"/>
      <charset val="1"/>
    </font>
    <font>
      <sz val="10"/>
      <color rgb="FF1A1A1A"/>
      <name val="Ebrima"/>
      <family val="0"/>
      <charset val="1"/>
    </font>
    <font>
      <sz val="10"/>
      <color rgb="FF0000FF"/>
      <name val="Ebrima"/>
      <family val="0"/>
      <charset val="1"/>
    </font>
    <font>
      <sz val="10"/>
      <name val="FreeSans"/>
      <family val="2"/>
    </font>
    <font>
      <sz val="10"/>
      <name val="Arial"/>
      <family val="2"/>
    </font>
    <font>
      <b val="true"/>
      <sz val="15"/>
      <color rgb="FFFFFFFF"/>
      <name val="FreeSans"/>
      <family val="2"/>
    </font>
    <font>
      <b val="true"/>
      <sz val="15"/>
      <color rgb="FFFFFFFF"/>
      <name val="Ebrim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BEA"/>
      </patternFill>
    </fill>
    <fill>
      <patternFill patternType="solid">
        <fgColor rgb="FF06245C"/>
        <bgColor rgb="FF1A1A1A"/>
      </patternFill>
    </fill>
    <fill>
      <patternFill patternType="solid">
        <fgColor rgb="FFFFFBEA"/>
        <bgColor rgb="FFFFFFFF"/>
      </patternFill>
    </fill>
    <fill>
      <patternFill patternType="solid">
        <fgColor rgb="FFE7E9EE"/>
        <bgColor rgb="FFEEF2F9"/>
      </patternFill>
    </fill>
    <fill>
      <patternFill patternType="solid">
        <fgColor rgb="FFEEF2F9"/>
        <bgColor rgb="FFE7E9E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D6EE"/>
      </left>
      <right style="thin">
        <color rgb="FFC9D6EE"/>
      </right>
      <top style="thin">
        <color rgb="FFC9D6EE"/>
      </top>
      <bottom style="thin">
        <color rgb="FFC9D6EE"/>
      </bottom>
      <diagonal/>
    </border>
    <border diagonalUp="false" diagonalDown="false">
      <left style="thin">
        <color rgb="FFC9D6EE"/>
      </left>
      <right/>
      <top style="thin">
        <color rgb="FFC9D6EE"/>
      </top>
      <bottom style="thin">
        <color rgb="FFC9D6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2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29" fillId="0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29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29" fillId="0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2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06245C"/>
          <bgColor rgb="FF000000"/>
        </patternFill>
      </fill>
    </dxf>
    <dxf>
      <fill>
        <patternFill patternType="solid">
          <fgColor rgb="FFE7E9E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5B6B8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F8D7DA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EF2F9"/>
      <rgbColor rgb="FF660066"/>
      <rgbColor rgb="FFFF8080"/>
      <rgbColor rgb="FF0066CC"/>
      <rgbColor rgb="FFC9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9EE"/>
      <rgbColor rgb="FFCCFFCC"/>
      <rgbColor rgb="FFFFFBEA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B6B8C"/>
      <rgbColor rgb="FF969696"/>
      <rgbColor rgb="FF06245C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1238040</xdr:colOff>
      <xdr:row>4</xdr:row>
      <xdr:rowOff>28080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11320" y="0"/>
          <a:ext cx="1238040" cy="942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1" customFormat="false" ht="18" hidden="false" customHeight="true" outlineLevel="0" collapsed="false"/>
    <row r="2" customFormat="false" ht="18" hidden="false" customHeight="true" outlineLevel="0" collapsed="false"/>
    <row r="3" customFormat="false" ht="18" hidden="false" customHeight="true" outlineLevel="0" collapsed="false"/>
    <row r="4" customFormat="false" ht="18" hidden="false" customHeight="true" outlineLevel="0" collapsed="false"/>
    <row r="5" customFormat="false" ht="18" hidden="false" customHeight="true" outlineLevel="0" collapsed="false"/>
    <row r="7" customFormat="false" ht="15" hidden="false" customHeight="false" outlineLevel="0" collapsed="false">
      <c r="B7" s="1" t="s">
        <v>0</v>
      </c>
    </row>
    <row r="8" customFormat="false" ht="15" hidden="false" customHeight="false" outlineLevel="0" collapsed="false">
      <c r="B8" s="1" t="s">
        <v>1</v>
      </c>
    </row>
    <row r="9" customFormat="false" ht="17.9" hidden="false" customHeight="false" outlineLevel="0" collapsed="false">
      <c r="B9" s="2" t="s">
        <v>2</v>
      </c>
    </row>
    <row r="10" customFormat="false" ht="15" hidden="false" customHeight="false" outlineLevel="0" collapsed="false">
      <c r="B10" s="3"/>
    </row>
    <row r="11" customFormat="false" ht="15" hidden="false" customHeight="false" outlineLevel="0" collapsed="false">
      <c r="B11" s="4" t="s">
        <v>3</v>
      </c>
    </row>
    <row r="12" customFormat="false" ht="15" hidden="false" customHeight="false" outlineLevel="0" collapsed="false">
      <c r="B12" s="4" t="s">
        <v>4</v>
      </c>
    </row>
    <row r="13" customFormat="false" ht="15" hidden="false" customHeight="false" outlineLevel="0" collapsed="false">
      <c r="B13" s="3"/>
    </row>
    <row r="14" customFormat="false" ht="31.5" hidden="false" customHeight="true" outlineLevel="0" collapsed="false">
      <c r="B14" s="5" t="s">
        <v>5</v>
      </c>
    </row>
    <row r="15" customFormat="false" ht="15" hidden="false" customHeight="false" outlineLevel="0" collapsed="false">
      <c r="B15" s="3"/>
    </row>
    <row r="16" customFormat="false" ht="18.65" hidden="false" customHeight="false" outlineLevel="0" collapsed="false">
      <c r="B16" s="6" t="s">
        <v>6</v>
      </c>
    </row>
    <row r="17" customFormat="false" ht="16.4" hidden="false" customHeight="false" outlineLevel="0" collapsed="false">
      <c r="B17" s="7" t="s">
        <v>7</v>
      </c>
    </row>
    <row r="18" customFormat="false" ht="31.5" hidden="false" customHeight="true" outlineLevel="0" collapsed="false">
      <c r="B18" s="7" t="s">
        <v>8</v>
      </c>
    </row>
    <row r="19" customFormat="false" ht="31.5" hidden="false" customHeight="true" outlineLevel="0" collapsed="false">
      <c r="B19" s="7" t="s">
        <v>9</v>
      </c>
    </row>
    <row r="20" customFormat="false" ht="16.4" hidden="false" customHeight="false" outlineLevel="0" collapsed="false">
      <c r="B20" s="7" t="s">
        <v>10</v>
      </c>
    </row>
    <row r="21" customFormat="false" ht="16.4" hidden="false" customHeight="false" outlineLevel="0" collapsed="false">
      <c r="B21" s="7" t="s">
        <v>11</v>
      </c>
    </row>
    <row r="22" customFormat="false" ht="16.4" hidden="false" customHeight="false" outlineLevel="0" collapsed="false">
      <c r="B22" s="7" t="s">
        <v>12</v>
      </c>
    </row>
    <row r="23" customFormat="false" ht="16.4" hidden="false" customHeight="false" outlineLevel="0" collapsed="false">
      <c r="B23" s="7" t="s">
        <v>13</v>
      </c>
    </row>
    <row r="24" customFormat="false" ht="16.4" hidden="false" customHeight="false" outlineLevel="0" collapsed="false">
      <c r="B24" s="7" t="s">
        <v>14</v>
      </c>
    </row>
    <row r="25" customFormat="false" ht="16.4" hidden="false" customHeight="false" outlineLevel="0" collapsed="false">
      <c r="B25" s="7" t="s">
        <v>15</v>
      </c>
    </row>
    <row r="26" customFormat="false" ht="31.5" hidden="false" customHeight="true" outlineLevel="0" collapsed="false">
      <c r="B26" s="7" t="s">
        <v>16</v>
      </c>
    </row>
    <row r="27" customFormat="false" ht="15" hidden="false" customHeight="false" outlineLevel="0" collapsed="false">
      <c r="B27" s="3"/>
    </row>
    <row r="28" customFormat="false" ht="16.15" hidden="false" customHeight="false" outlineLevel="0" collapsed="false">
      <c r="B28" s="6" t="s">
        <v>17</v>
      </c>
    </row>
    <row r="29" customFormat="false" ht="16.4" hidden="false" customHeight="false" outlineLevel="0" collapsed="false">
      <c r="B29" s="8" t="s">
        <v>18</v>
      </c>
    </row>
    <row r="30" customFormat="false" ht="31.5" hidden="false" customHeight="true" outlineLevel="0" collapsed="false">
      <c r="B30" s="8" t="s">
        <v>19</v>
      </c>
    </row>
    <row r="31" customFormat="false" ht="16.4" hidden="false" customHeight="false" outlineLevel="0" collapsed="false">
      <c r="B31" s="8" t="s">
        <v>20</v>
      </c>
    </row>
    <row r="32" customFormat="false" ht="16.4" hidden="false" customHeight="false" outlineLevel="0" collapsed="false">
      <c r="B32" s="8" t="s">
        <v>21</v>
      </c>
    </row>
    <row r="33" customFormat="false" ht="16.4" hidden="false" customHeight="false" outlineLevel="0" collapsed="false">
      <c r="B33" s="8" t="s">
        <v>22</v>
      </c>
    </row>
    <row r="34" customFormat="false" ht="16.4" hidden="false" customHeight="false" outlineLevel="0" collapsed="false">
      <c r="B34" s="8" t="s">
        <v>23</v>
      </c>
    </row>
    <row r="35" customFormat="false" ht="15" hidden="false" customHeight="false" outlineLevel="0" collapsed="false">
      <c r="B35" s="3"/>
    </row>
    <row r="36" customFormat="false" ht="15" hidden="false" customHeight="false" outlineLevel="0" collapsed="false">
      <c r="B36" s="9" t="s">
        <v>24</v>
      </c>
    </row>
    <row r="37" customFormat="false" ht="15" hidden="false" customHeight="false" outlineLevel="0" collapsed="false">
      <c r="B37" s="3"/>
    </row>
    <row r="38" customFormat="false" ht="15" hidden="false" customHeight="false" outlineLevel="0" collapsed="false">
      <c r="B38" s="1" t="s">
        <v>25</v>
      </c>
    </row>
  </sheetData>
  <sheetProtection sheet="true" password="d81c" formatColumns="false" formatRows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3"/>
    <col collapsed="false" customWidth="true" hidden="false" outlineLevel="0" max="4" min="4" style="0" width="28"/>
    <col collapsed="false" customWidth="true" hidden="false" outlineLevel="0" max="5" min="5" style="0" width="14"/>
    <col collapsed="false" customWidth="true" hidden="false" outlineLevel="0" max="6" min="6" style="0" width="3"/>
    <col collapsed="false" customWidth="true" hidden="false" outlineLevel="0" max="8" min="7" style="0" width="18"/>
    <col collapsed="false" customWidth="true" hidden="false" outlineLevel="0" max="9" min="9" style="0" width="12"/>
  </cols>
  <sheetData>
    <row r="1" customFormat="false" ht="18.65" hidden="false" customHeight="false" outlineLevel="0" collapsed="false">
      <c r="A1" s="10" t="s">
        <v>26</v>
      </c>
    </row>
    <row r="3" customFormat="false" ht="16.4" hidden="false" customHeight="false" outlineLevel="0" collapsed="false">
      <c r="A3" s="11" t="s">
        <v>27</v>
      </c>
      <c r="B3" s="12" t="n">
        <v>2019</v>
      </c>
      <c r="C3" s="13" t="s">
        <v>28</v>
      </c>
    </row>
    <row r="4" customFormat="false" ht="15" hidden="false" customHeight="false" outlineLevel="0" collapsed="false">
      <c r="A4" s="13" t="s">
        <v>29</v>
      </c>
    </row>
    <row r="5" customFormat="false" ht="27.6" hidden="false" customHeight="false" outlineLevel="0" collapsed="false">
      <c r="A5" s="14" t="s">
        <v>30</v>
      </c>
      <c r="B5" s="14" t="s">
        <v>31</v>
      </c>
      <c r="D5" s="14" t="s">
        <v>32</v>
      </c>
      <c r="E5" s="14" t="s">
        <v>33</v>
      </c>
      <c r="G5" s="14" t="s">
        <v>34</v>
      </c>
      <c r="H5" s="14" t="s">
        <v>35</v>
      </c>
      <c r="I5" s="14" t="s">
        <v>36</v>
      </c>
    </row>
    <row r="6" customFormat="false" ht="15" hidden="false" customHeight="false" outlineLevel="0" collapsed="false">
      <c r="A6" s="15" t="s">
        <v>37</v>
      </c>
      <c r="B6" s="16" t="s">
        <v>38</v>
      </c>
      <c r="D6" s="15" t="s">
        <v>39</v>
      </c>
      <c r="E6" s="17" t="n">
        <v>10</v>
      </c>
      <c r="G6" s="15" t="s">
        <v>40</v>
      </c>
      <c r="H6" s="15" t="s">
        <v>41</v>
      </c>
      <c r="I6" s="15" t="s">
        <v>42</v>
      </c>
    </row>
    <row r="7" customFormat="false" ht="16.4" hidden="false" customHeight="false" outlineLevel="0" collapsed="false">
      <c r="A7" s="15" t="s">
        <v>43</v>
      </c>
      <c r="B7" s="16" t="s">
        <v>44</v>
      </c>
      <c r="D7" s="15" t="s">
        <v>45</v>
      </c>
      <c r="E7" s="17" t="n">
        <v>4</v>
      </c>
      <c r="G7" s="15" t="s">
        <v>46</v>
      </c>
      <c r="H7" s="15" t="s">
        <v>47</v>
      </c>
      <c r="I7" s="15" t="s">
        <v>48</v>
      </c>
    </row>
    <row r="8" customFormat="false" ht="15" hidden="false" customHeight="false" outlineLevel="0" collapsed="false">
      <c r="A8" s="15" t="s">
        <v>49</v>
      </c>
      <c r="B8" s="16" t="s">
        <v>50</v>
      </c>
      <c r="D8" s="15" t="s">
        <v>51</v>
      </c>
      <c r="E8" s="17" t="n">
        <v>5</v>
      </c>
      <c r="G8" s="15" t="s">
        <v>52</v>
      </c>
      <c r="H8" s="15" t="s">
        <v>53</v>
      </c>
      <c r="I8" s="15" t="s">
        <v>54</v>
      </c>
    </row>
    <row r="9" customFormat="false" ht="15" hidden="false" customHeight="false" outlineLevel="0" collapsed="false">
      <c r="A9" s="15" t="s">
        <v>55</v>
      </c>
      <c r="B9" s="16" t="s">
        <v>56</v>
      </c>
      <c r="D9" s="15" t="s">
        <v>57</v>
      </c>
      <c r="E9" s="17" t="n">
        <v>10</v>
      </c>
      <c r="G9" s="15" t="s">
        <v>58</v>
      </c>
      <c r="H9" s="15" t="s">
        <v>59</v>
      </c>
      <c r="I9" s="15" t="s">
        <v>60</v>
      </c>
    </row>
    <row r="10" customFormat="false" ht="15" hidden="false" customHeight="false" outlineLevel="0" collapsed="false">
      <c r="A10" s="15" t="s">
        <v>61</v>
      </c>
      <c r="B10" s="16" t="s">
        <v>62</v>
      </c>
      <c r="D10" s="15" t="s">
        <v>63</v>
      </c>
      <c r="E10" s="17" t="n">
        <v>5</v>
      </c>
      <c r="G10" s="18"/>
      <c r="H10" s="15" t="s">
        <v>64</v>
      </c>
      <c r="I10" s="15" t="s">
        <v>65</v>
      </c>
    </row>
    <row r="11" customFormat="false" ht="16.4" hidden="false" customHeight="false" outlineLevel="0" collapsed="false">
      <c r="A11" s="15" t="s">
        <v>66</v>
      </c>
      <c r="B11" s="16" t="s">
        <v>67</v>
      </c>
      <c r="D11" s="15" t="s">
        <v>68</v>
      </c>
      <c r="E11" s="17" t="n">
        <v>5</v>
      </c>
      <c r="G11" s="18"/>
      <c r="H11" s="15" t="s">
        <v>69</v>
      </c>
      <c r="I11" s="15" t="s">
        <v>70</v>
      </c>
    </row>
    <row r="12" customFormat="false" ht="15" hidden="false" customHeight="false" outlineLevel="0" collapsed="false">
      <c r="A12" s="15" t="s">
        <v>71</v>
      </c>
      <c r="B12" s="16" t="s">
        <v>72</v>
      </c>
      <c r="D12" s="15" t="s">
        <v>73</v>
      </c>
      <c r="E12" s="17" t="n">
        <v>5</v>
      </c>
      <c r="G12" s="18"/>
      <c r="H12" s="18"/>
      <c r="I12" s="18"/>
    </row>
    <row r="13" customFormat="false" ht="15" hidden="false" customHeight="false" outlineLevel="0" collapsed="false">
      <c r="A13" s="15" t="s">
        <v>74</v>
      </c>
      <c r="B13" s="16" t="s">
        <v>75</v>
      </c>
      <c r="D13" s="15" t="s">
        <v>76</v>
      </c>
      <c r="E13" s="17" t="n">
        <v>3</v>
      </c>
      <c r="G13" s="18"/>
      <c r="H13" s="18"/>
      <c r="I13" s="18"/>
    </row>
    <row r="14" customFormat="false" ht="15" hidden="false" customHeight="false" outlineLevel="0" collapsed="false">
      <c r="A14" s="15" t="s">
        <v>77</v>
      </c>
      <c r="B14" s="16" t="s">
        <v>78</v>
      </c>
      <c r="D14" s="15" t="s">
        <v>79</v>
      </c>
      <c r="E14" s="17" t="n">
        <v>0</v>
      </c>
      <c r="G14" s="18"/>
      <c r="H14" s="18"/>
      <c r="I14" s="18"/>
    </row>
    <row r="15" customFormat="false" ht="15" hidden="false" customHeight="false" outlineLevel="0" collapsed="false">
      <c r="A15" s="15" t="s">
        <v>80</v>
      </c>
      <c r="B15" s="16" t="s">
        <v>81</v>
      </c>
      <c r="D15" s="18"/>
      <c r="E15" s="19"/>
      <c r="G15" s="18"/>
      <c r="H15" s="18"/>
      <c r="I15" s="18"/>
    </row>
    <row r="16" customFormat="false" ht="15" hidden="false" customHeight="false" outlineLevel="0" collapsed="false">
      <c r="A16" s="18"/>
      <c r="B16" s="18"/>
      <c r="D16" s="18"/>
      <c r="E16" s="19"/>
      <c r="G16" s="18"/>
      <c r="H16" s="18"/>
      <c r="I16" s="18"/>
    </row>
    <row r="17" customFormat="false" ht="15" hidden="false" customHeight="false" outlineLevel="0" collapsed="false">
      <c r="A17" s="18"/>
      <c r="B17" s="18"/>
      <c r="D17" s="18"/>
      <c r="E17" s="19"/>
      <c r="G17" s="18"/>
      <c r="H17" s="18"/>
      <c r="I17" s="18"/>
    </row>
    <row r="18" customFormat="false" ht="15" hidden="false" customHeight="false" outlineLevel="0" collapsed="false">
      <c r="A18" s="18"/>
      <c r="B18" s="18"/>
      <c r="D18" s="18"/>
      <c r="E18" s="19"/>
      <c r="G18" s="18"/>
      <c r="H18" s="18"/>
      <c r="I18" s="18"/>
    </row>
    <row r="19" customFormat="false" ht="15" hidden="false" customHeight="false" outlineLevel="0" collapsed="false">
      <c r="A19" s="18"/>
      <c r="B19" s="18"/>
      <c r="D19" s="18"/>
      <c r="E19" s="19"/>
      <c r="G19" s="18"/>
      <c r="H19" s="18"/>
      <c r="I19" s="18"/>
    </row>
    <row r="20" customFormat="false" ht="15" hidden="false" customHeight="false" outlineLevel="0" collapsed="false">
      <c r="A20" s="18"/>
      <c r="B20" s="18"/>
      <c r="D20" s="18"/>
      <c r="E20" s="19"/>
      <c r="G20" s="18"/>
      <c r="H20" s="18"/>
      <c r="I20" s="18"/>
    </row>
    <row r="21" customFormat="false" ht="15" hidden="false" customHeight="false" outlineLevel="0" collapsed="false">
      <c r="A21" s="18"/>
      <c r="B21" s="18"/>
      <c r="D21" s="18"/>
      <c r="E21" s="19"/>
      <c r="G21" s="18"/>
      <c r="H21" s="18"/>
      <c r="I21" s="18"/>
    </row>
    <row r="22" customFormat="false" ht="15" hidden="false" customHeight="false" outlineLevel="0" collapsed="false">
      <c r="A22" s="18"/>
      <c r="B22" s="18"/>
      <c r="D22" s="18"/>
      <c r="E22" s="19"/>
      <c r="G22" s="18"/>
      <c r="H22" s="18"/>
      <c r="I22" s="18"/>
    </row>
    <row r="23" customFormat="false" ht="15" hidden="false" customHeight="false" outlineLevel="0" collapsed="false">
      <c r="A23" s="18"/>
      <c r="B23" s="18"/>
      <c r="D23" s="18"/>
      <c r="E23" s="19"/>
      <c r="G23" s="18"/>
      <c r="H23" s="18"/>
      <c r="I23" s="18"/>
    </row>
    <row r="24" customFormat="false" ht="15" hidden="false" customHeight="false" outlineLevel="0" collapsed="false">
      <c r="A24" s="18"/>
      <c r="B24" s="18"/>
      <c r="D24" s="18"/>
      <c r="E24" s="19"/>
      <c r="G24" s="18"/>
      <c r="H24" s="18"/>
      <c r="I24" s="18"/>
    </row>
    <row r="25" customFormat="false" ht="15" hidden="false" customHeight="false" outlineLevel="0" collapsed="false">
      <c r="A25" s="18"/>
      <c r="B25" s="18"/>
      <c r="D25" s="18"/>
      <c r="E25" s="19"/>
      <c r="G25" s="18"/>
      <c r="H25" s="18"/>
      <c r="I25" s="18"/>
    </row>
    <row r="27" customFormat="false" ht="15" hidden="false" customHeight="false" outlineLevel="0" collapsed="false">
      <c r="A27" s="13" t="s">
        <v>82</v>
      </c>
    </row>
  </sheetData>
  <sheetProtection sheet="true" password="d81c" formatColumns="false" formatRows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6" min="5" style="0" width="20"/>
    <col collapsed="false" customWidth="true" hidden="false" outlineLevel="0" max="7" min="7" style="0" width="7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5"/>
    <col collapsed="false" customWidth="true" hidden="false" outlineLevel="0" max="12" min="12" style="0" width="10"/>
    <col collapsed="false" customWidth="true" hidden="false" outlineLevel="0" max="13" min="13" style="0" width="15"/>
    <col collapsed="false" customWidth="true" hidden="false" outlineLevel="0" max="15" min="14" style="0" width="18"/>
    <col collapsed="false" customWidth="true" hidden="false" outlineLevel="0" max="16" min="16" style="0" width="11"/>
    <col collapsed="false" customWidth="true" hidden="false" outlineLevel="0" max="19" min="17" style="0" width="13"/>
    <col collapsed="false" customWidth="true" hidden="false" outlineLevel="0" max="20" min="20" style="0" width="24"/>
  </cols>
  <sheetData>
    <row r="1" customFormat="false" ht="30" hidden="false" customHeight="true" outlineLevel="0" collapsed="false">
      <c r="A1" s="20" t="s">
        <v>83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customFormat="false" ht="14.9" hidden="false" customHeight="false" outlineLevel="0" collapsed="false">
      <c r="A2" s="21" t="s">
        <v>84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</row>
    <row r="3" customFormat="false" ht="14.15" hidden="false" customHeight="false" outlineLevel="0" collapsed="false">
      <c r="A3" s="22" t="s">
        <v>85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</row>
    <row r="4" customFormat="false" ht="15" hidden="false" customHeight="false" outlineLevel="0" collapsed="false">
      <c r="C4" s="23" t="s">
        <v>86</v>
      </c>
      <c r="E4" s="24"/>
      <c r="F4" s="24"/>
      <c r="G4" s="24"/>
      <c r="J4" s="23" t="s">
        <v>87</v>
      </c>
      <c r="L4" s="24"/>
      <c r="M4" s="24"/>
      <c r="N4" s="24"/>
    </row>
    <row r="5" customFormat="false" ht="16.4" hidden="false" customHeight="false" outlineLevel="0" collapsed="false">
      <c r="C5" s="23" t="s">
        <v>88</v>
      </c>
      <c r="E5" s="24"/>
      <c r="F5" s="24"/>
      <c r="G5" s="24"/>
      <c r="J5" s="23" t="s">
        <v>89</v>
      </c>
      <c r="L5" s="24"/>
      <c r="M5" s="24"/>
      <c r="N5" s="24"/>
    </row>
    <row r="6" customFormat="false" ht="15" hidden="false" customHeight="false" outlineLevel="0" collapsed="false">
      <c r="C6" s="23" t="s">
        <v>90</v>
      </c>
      <c r="E6" s="24"/>
      <c r="F6" s="24"/>
      <c r="G6" s="24"/>
      <c r="J6" s="23" t="s">
        <v>91</v>
      </c>
      <c r="L6" s="24"/>
      <c r="M6" s="24"/>
      <c r="N6" s="24"/>
    </row>
    <row r="8" customFormat="false" ht="45" hidden="false" customHeight="true" outlineLevel="0" collapsed="false">
      <c r="A8" s="25" t="s">
        <v>92</v>
      </c>
      <c r="B8" s="25" t="s">
        <v>93</v>
      </c>
      <c r="C8" s="25" t="s">
        <v>94</v>
      </c>
      <c r="D8" s="25" t="s">
        <v>95</v>
      </c>
      <c r="E8" s="25" t="s">
        <v>32</v>
      </c>
      <c r="F8" s="25" t="s">
        <v>96</v>
      </c>
      <c r="G8" s="25" t="s">
        <v>97</v>
      </c>
      <c r="H8" s="25" t="s">
        <v>36</v>
      </c>
      <c r="I8" s="25" t="s">
        <v>98</v>
      </c>
      <c r="J8" s="25" t="s">
        <v>99</v>
      </c>
      <c r="K8" s="25" t="s">
        <v>34</v>
      </c>
      <c r="L8" s="25" t="s">
        <v>100</v>
      </c>
      <c r="M8" s="25" t="s">
        <v>101</v>
      </c>
      <c r="N8" s="25" t="s">
        <v>102</v>
      </c>
      <c r="O8" s="25" t="s">
        <v>103</v>
      </c>
      <c r="P8" s="25" t="s">
        <v>104</v>
      </c>
      <c r="Q8" s="25" t="s">
        <v>105</v>
      </c>
      <c r="R8" s="25" t="s">
        <v>106</v>
      </c>
      <c r="S8" s="25" t="s">
        <v>107</v>
      </c>
      <c r="T8" s="25" t="s">
        <v>108</v>
      </c>
    </row>
    <row r="9" customFormat="false" ht="31.5" hidden="false" customHeight="true" outlineLevel="0" collapsed="false">
      <c r="A9" s="26" t="s">
        <v>109</v>
      </c>
      <c r="B9" s="27" t="s">
        <v>110</v>
      </c>
      <c r="C9" s="28" t="s">
        <v>111</v>
      </c>
      <c r="D9" s="28" t="s">
        <v>112</v>
      </c>
      <c r="E9" s="29" t="s">
        <v>39</v>
      </c>
      <c r="F9" s="29" t="s">
        <v>43</v>
      </c>
      <c r="G9" s="26" t="n">
        <v>4</v>
      </c>
      <c r="H9" s="29" t="s">
        <v>42</v>
      </c>
      <c r="I9" s="30" t="n">
        <v>6500</v>
      </c>
      <c r="J9" s="30" t="n">
        <f aca="false">G9*I9</f>
        <v>26000</v>
      </c>
      <c r="K9" s="29" t="s">
        <v>40</v>
      </c>
      <c r="L9" s="26" t="n">
        <v>2017</v>
      </c>
      <c r="M9" s="29" t="s">
        <v>47</v>
      </c>
      <c r="N9" s="28" t="s">
        <v>113</v>
      </c>
      <c r="O9" s="29" t="s">
        <v>114</v>
      </c>
      <c r="P9" s="26" t="n">
        <f aca="true">IFERROR(INDEX(CatLife,MATCH(E9,Cats,0)),"")</f>
        <v>10</v>
      </c>
      <c r="Q9" s="30" t="n">
        <f aca="false">IF(OR(P9="",P9=0),0,J9/P9)</f>
        <v>2600</v>
      </c>
      <c r="R9" s="30" t="n">
        <f aca="false">MIN(J9,Q9*MAX(0,CurYear-L9))</f>
        <v>5200</v>
      </c>
      <c r="S9" s="30" t="n">
        <f aca="false">J9-R9</f>
        <v>20800</v>
      </c>
      <c r="T9" s="28" t="s">
        <v>115</v>
      </c>
    </row>
    <row r="10" customFormat="false" ht="15" hidden="false" customHeight="false" outlineLevel="0" collapsed="false">
      <c r="A10" s="31" t="str">
        <f aca="false">IF(C10="","",ROW()-9)</f>
        <v/>
      </c>
      <c r="B10" s="31" t="str">
        <f aca="true">IF(OR(C10="",F10=""),"","HH-"&amp;INDEX(DeptCodes,MATCH(F10,Depts,0))&amp;"-"&amp;TEXT(COUNTIF(F$10:F10,F10),"000"))</f>
        <v/>
      </c>
      <c r="C10" s="32"/>
      <c r="D10" s="32"/>
      <c r="E10" s="33"/>
      <c r="F10" s="33"/>
      <c r="G10" s="34"/>
      <c r="H10" s="33"/>
      <c r="I10" s="35"/>
      <c r="J10" s="36" t="str">
        <f aca="false">IF(OR(G10="",I10=""),"",G10*I10)</f>
        <v/>
      </c>
      <c r="K10" s="33"/>
      <c r="L10" s="34"/>
      <c r="M10" s="33"/>
      <c r="N10" s="32"/>
      <c r="O10" s="33"/>
      <c r="P10" s="37" t="str">
        <f aca="true">IF(E10="","",IFERROR(INDEX(CatLife,MATCH(E10,Cats,0)),""))</f>
        <v/>
      </c>
      <c r="Q10" s="36" t="str">
        <f aca="false">IF(OR(J10="",P10="",P10=0),IF(J10="","",0),J10/P10)</f>
        <v/>
      </c>
      <c r="R10" s="36" t="str">
        <f aca="false">IF(OR(Q10="",L10=""),"",MIN(J10,Q10*MAX(0,CurYear-L10)))</f>
        <v/>
      </c>
      <c r="S10" s="36" t="str">
        <f aca="false">IF(R10="",IF(J10="","",J10),J10-R10)</f>
        <v/>
      </c>
      <c r="T10" s="32"/>
    </row>
    <row r="11" customFormat="false" ht="15" hidden="false" customHeight="false" outlineLevel="0" collapsed="false">
      <c r="A11" s="31" t="str">
        <f aca="false">IF(C11="","",ROW()-9)</f>
        <v/>
      </c>
      <c r="B11" s="31" t="str">
        <f aca="true">IF(OR(C11="",F11=""),"","HH-"&amp;INDEX(DeptCodes,MATCH(F11,Depts,0))&amp;"-"&amp;TEXT(COUNTIF(F$10:F11,F11),"000"))</f>
        <v/>
      </c>
      <c r="C11" s="32"/>
      <c r="D11" s="32"/>
      <c r="E11" s="33"/>
      <c r="F11" s="33"/>
      <c r="G11" s="34"/>
      <c r="H11" s="33"/>
      <c r="I11" s="35"/>
      <c r="J11" s="36" t="str">
        <f aca="false">IF(OR(G11="",I11=""),"",G11*I11)</f>
        <v/>
      </c>
      <c r="K11" s="33"/>
      <c r="L11" s="34"/>
      <c r="M11" s="33"/>
      <c r="N11" s="32"/>
      <c r="O11" s="33"/>
      <c r="P11" s="37" t="str">
        <f aca="true">IF(E11="","",IFERROR(INDEX(CatLife,MATCH(E11,Cats,0)),""))</f>
        <v/>
      </c>
      <c r="Q11" s="36" t="str">
        <f aca="false">IF(OR(J11="",P11="",P11=0),IF(J11="","",0),J11/P11)</f>
        <v/>
      </c>
      <c r="R11" s="36" t="str">
        <f aca="false">IF(OR(Q11="",L11=""),"",MIN(J11,Q11*MAX(0,CurYear-L11)))</f>
        <v/>
      </c>
      <c r="S11" s="36" t="str">
        <f aca="false">IF(R11="",IF(J11="","",J11),J11-R11)</f>
        <v/>
      </c>
      <c r="T11" s="32"/>
    </row>
    <row r="12" customFormat="false" ht="15" hidden="false" customHeight="false" outlineLevel="0" collapsed="false">
      <c r="A12" s="31" t="str">
        <f aca="false">IF(C12="","",ROW()-9)</f>
        <v/>
      </c>
      <c r="B12" s="31" t="str">
        <f aca="true">IF(OR(C12="",F12=""),"","HH-"&amp;INDEX(DeptCodes,MATCH(F12,Depts,0))&amp;"-"&amp;TEXT(COUNTIF(F$10:F12,F12),"000"))</f>
        <v/>
      </c>
      <c r="C12" s="32"/>
      <c r="D12" s="32"/>
      <c r="E12" s="33"/>
      <c r="F12" s="33"/>
      <c r="G12" s="34"/>
      <c r="H12" s="33"/>
      <c r="I12" s="35"/>
      <c r="J12" s="36" t="str">
        <f aca="false">IF(OR(G12="",I12=""),"",G12*I12)</f>
        <v/>
      </c>
      <c r="K12" s="33"/>
      <c r="L12" s="34"/>
      <c r="M12" s="33"/>
      <c r="N12" s="32"/>
      <c r="O12" s="33"/>
      <c r="P12" s="37" t="str">
        <f aca="true">IF(E12="","",IFERROR(INDEX(CatLife,MATCH(E12,Cats,0)),""))</f>
        <v/>
      </c>
      <c r="Q12" s="36" t="str">
        <f aca="false">IF(OR(J12="",P12="",P12=0),IF(J12="","",0),J12/P12)</f>
        <v/>
      </c>
      <c r="R12" s="36" t="str">
        <f aca="false">IF(OR(Q12="",L12=""),"",MIN(J12,Q12*MAX(0,CurYear-L12)))</f>
        <v/>
      </c>
      <c r="S12" s="36" t="str">
        <f aca="false">IF(R12="",IF(J12="","",J12),J12-R12)</f>
        <v/>
      </c>
      <c r="T12" s="32"/>
    </row>
    <row r="13" customFormat="false" ht="15" hidden="false" customHeight="false" outlineLevel="0" collapsed="false">
      <c r="A13" s="31" t="str">
        <f aca="false">IF(C13="","",ROW()-9)</f>
        <v/>
      </c>
      <c r="B13" s="31" t="str">
        <f aca="true">IF(OR(C13="",F13=""),"","HH-"&amp;INDEX(DeptCodes,MATCH(F13,Depts,0))&amp;"-"&amp;TEXT(COUNTIF(F$10:F13,F13),"000"))</f>
        <v/>
      </c>
      <c r="C13" s="32"/>
      <c r="D13" s="32"/>
      <c r="E13" s="33"/>
      <c r="F13" s="33"/>
      <c r="G13" s="34"/>
      <c r="H13" s="33"/>
      <c r="I13" s="35"/>
      <c r="J13" s="36" t="str">
        <f aca="false">IF(OR(G13="",I13=""),"",G13*I13)</f>
        <v/>
      </c>
      <c r="K13" s="33"/>
      <c r="L13" s="34"/>
      <c r="M13" s="33"/>
      <c r="N13" s="32"/>
      <c r="O13" s="33"/>
      <c r="P13" s="37" t="str">
        <f aca="true">IF(E13="","",IFERROR(INDEX(CatLife,MATCH(E13,Cats,0)),""))</f>
        <v/>
      </c>
      <c r="Q13" s="36" t="str">
        <f aca="false">IF(OR(J13="",P13="",P13=0),IF(J13="","",0),J13/P13)</f>
        <v/>
      </c>
      <c r="R13" s="36" t="str">
        <f aca="false">IF(OR(Q13="",L13=""),"",MIN(J13,Q13*MAX(0,CurYear-L13)))</f>
        <v/>
      </c>
      <c r="S13" s="36" t="str">
        <f aca="false">IF(R13="",IF(J13="","",J13),J13-R13)</f>
        <v/>
      </c>
      <c r="T13" s="32"/>
    </row>
    <row r="14" customFormat="false" ht="15" hidden="false" customHeight="false" outlineLevel="0" collapsed="false">
      <c r="A14" s="31" t="str">
        <f aca="false">IF(C14="","",ROW()-9)</f>
        <v/>
      </c>
      <c r="B14" s="31" t="str">
        <f aca="true">IF(OR(C14="",F14=""),"","HH-"&amp;INDEX(DeptCodes,MATCH(F14,Depts,0))&amp;"-"&amp;TEXT(COUNTIF(F$10:F14,F14),"000"))</f>
        <v/>
      </c>
      <c r="C14" s="32"/>
      <c r="D14" s="32"/>
      <c r="E14" s="33"/>
      <c r="F14" s="33"/>
      <c r="G14" s="34"/>
      <c r="H14" s="33"/>
      <c r="I14" s="35"/>
      <c r="J14" s="36" t="str">
        <f aca="false">IF(OR(G14="",I14=""),"",G14*I14)</f>
        <v/>
      </c>
      <c r="K14" s="33"/>
      <c r="L14" s="34"/>
      <c r="M14" s="33"/>
      <c r="N14" s="32"/>
      <c r="O14" s="33"/>
      <c r="P14" s="37" t="str">
        <f aca="true">IF(E14="","",IFERROR(INDEX(CatLife,MATCH(E14,Cats,0)),""))</f>
        <v/>
      </c>
      <c r="Q14" s="36" t="str">
        <f aca="false">IF(OR(J14="",P14="",P14=0),IF(J14="","",0),J14/P14)</f>
        <v/>
      </c>
      <c r="R14" s="36" t="str">
        <f aca="false">IF(OR(Q14="",L14=""),"",MIN(J14,Q14*MAX(0,CurYear-L14)))</f>
        <v/>
      </c>
      <c r="S14" s="36" t="str">
        <f aca="false">IF(R14="",IF(J14="","",J14),J14-R14)</f>
        <v/>
      </c>
      <c r="T14" s="32"/>
    </row>
    <row r="15" customFormat="false" ht="15" hidden="false" customHeight="false" outlineLevel="0" collapsed="false">
      <c r="A15" s="31" t="str">
        <f aca="false">IF(C15="","",ROW()-9)</f>
        <v/>
      </c>
      <c r="B15" s="31" t="str">
        <f aca="true">IF(OR(C15="",F15=""),"","HH-"&amp;INDEX(DeptCodes,MATCH(F15,Depts,0))&amp;"-"&amp;TEXT(COUNTIF(F$10:F15,F15),"000"))</f>
        <v/>
      </c>
      <c r="C15" s="32"/>
      <c r="D15" s="32"/>
      <c r="E15" s="33"/>
      <c r="F15" s="33"/>
      <c r="G15" s="34"/>
      <c r="H15" s="33"/>
      <c r="I15" s="35"/>
      <c r="J15" s="36" t="str">
        <f aca="false">IF(OR(G15="",I15=""),"",G15*I15)</f>
        <v/>
      </c>
      <c r="K15" s="33"/>
      <c r="L15" s="34"/>
      <c r="M15" s="33"/>
      <c r="N15" s="32"/>
      <c r="O15" s="33"/>
      <c r="P15" s="37" t="str">
        <f aca="true">IF(E15="","",IFERROR(INDEX(CatLife,MATCH(E15,Cats,0)),""))</f>
        <v/>
      </c>
      <c r="Q15" s="36" t="str">
        <f aca="false">IF(OR(J15="",P15="",P15=0),IF(J15="","",0),J15/P15)</f>
        <v/>
      </c>
      <c r="R15" s="36" t="str">
        <f aca="false">IF(OR(Q15="",L15=""),"",MIN(J15,Q15*MAX(0,CurYear-L15)))</f>
        <v/>
      </c>
      <c r="S15" s="36" t="str">
        <f aca="false">IF(R15="",IF(J15="","",J15),J15-R15)</f>
        <v/>
      </c>
      <c r="T15" s="32"/>
    </row>
    <row r="16" customFormat="false" ht="15" hidden="false" customHeight="false" outlineLevel="0" collapsed="false">
      <c r="A16" s="31" t="str">
        <f aca="false">IF(C16="","",ROW()-9)</f>
        <v/>
      </c>
      <c r="B16" s="31" t="str">
        <f aca="true">IF(OR(C16="",F16=""),"","HH-"&amp;INDEX(DeptCodes,MATCH(F16,Depts,0))&amp;"-"&amp;TEXT(COUNTIF(F$10:F16,F16),"000"))</f>
        <v/>
      </c>
      <c r="C16" s="32"/>
      <c r="D16" s="32"/>
      <c r="E16" s="33"/>
      <c r="F16" s="33"/>
      <c r="G16" s="34"/>
      <c r="H16" s="33"/>
      <c r="I16" s="35"/>
      <c r="J16" s="36" t="str">
        <f aca="false">IF(OR(G16="",I16=""),"",G16*I16)</f>
        <v/>
      </c>
      <c r="K16" s="33"/>
      <c r="L16" s="34"/>
      <c r="M16" s="33"/>
      <c r="N16" s="32"/>
      <c r="O16" s="33"/>
      <c r="P16" s="37" t="str">
        <f aca="true">IF(E16="","",IFERROR(INDEX(CatLife,MATCH(E16,Cats,0)),""))</f>
        <v/>
      </c>
      <c r="Q16" s="36" t="str">
        <f aca="false">IF(OR(J16="",P16="",P16=0),IF(J16="","",0),J16/P16)</f>
        <v/>
      </c>
      <c r="R16" s="36" t="str">
        <f aca="false">IF(OR(Q16="",L16=""),"",MIN(J16,Q16*MAX(0,CurYear-L16)))</f>
        <v/>
      </c>
      <c r="S16" s="36" t="str">
        <f aca="false">IF(R16="",IF(J16="","",J16),J16-R16)</f>
        <v/>
      </c>
      <c r="T16" s="32"/>
    </row>
    <row r="17" customFormat="false" ht="15" hidden="false" customHeight="false" outlineLevel="0" collapsed="false">
      <c r="A17" s="31" t="str">
        <f aca="false">IF(C17="","",ROW()-9)</f>
        <v/>
      </c>
      <c r="B17" s="31" t="str">
        <f aca="true">IF(OR(C17="",F17=""),"","HH-"&amp;INDEX(DeptCodes,MATCH(F17,Depts,0))&amp;"-"&amp;TEXT(COUNTIF(F$10:F17,F17),"000"))</f>
        <v/>
      </c>
      <c r="C17" s="32"/>
      <c r="D17" s="32"/>
      <c r="E17" s="33"/>
      <c r="F17" s="33"/>
      <c r="G17" s="34"/>
      <c r="H17" s="33"/>
      <c r="I17" s="35"/>
      <c r="J17" s="36" t="str">
        <f aca="false">IF(OR(G17="",I17=""),"",G17*I17)</f>
        <v/>
      </c>
      <c r="K17" s="33"/>
      <c r="L17" s="34"/>
      <c r="M17" s="33"/>
      <c r="N17" s="32"/>
      <c r="O17" s="33"/>
      <c r="P17" s="37" t="str">
        <f aca="true">IF(E17="","",IFERROR(INDEX(CatLife,MATCH(E17,Cats,0)),""))</f>
        <v/>
      </c>
      <c r="Q17" s="36" t="str">
        <f aca="false">IF(OR(J17="",P17="",P17=0),IF(J17="","",0),J17/P17)</f>
        <v/>
      </c>
      <c r="R17" s="36" t="str">
        <f aca="false">IF(OR(Q17="",L17=""),"",MIN(J17,Q17*MAX(0,CurYear-L17)))</f>
        <v/>
      </c>
      <c r="S17" s="36" t="str">
        <f aca="false">IF(R17="",IF(J17="","",J17),J17-R17)</f>
        <v/>
      </c>
      <c r="T17" s="32"/>
    </row>
    <row r="18" customFormat="false" ht="15" hidden="false" customHeight="false" outlineLevel="0" collapsed="false">
      <c r="A18" s="31" t="str">
        <f aca="false">IF(C18="","",ROW()-9)</f>
        <v/>
      </c>
      <c r="B18" s="31" t="str">
        <f aca="true">IF(OR(C18="",F18=""),"","HH-"&amp;INDEX(DeptCodes,MATCH(F18,Depts,0))&amp;"-"&amp;TEXT(COUNTIF(F$10:F18,F18),"000"))</f>
        <v/>
      </c>
      <c r="C18" s="32"/>
      <c r="D18" s="32"/>
      <c r="E18" s="33"/>
      <c r="F18" s="33"/>
      <c r="G18" s="34"/>
      <c r="H18" s="33"/>
      <c r="I18" s="35"/>
      <c r="J18" s="36" t="str">
        <f aca="false">IF(OR(G18="",I18=""),"",G18*I18)</f>
        <v/>
      </c>
      <c r="K18" s="33"/>
      <c r="L18" s="34"/>
      <c r="M18" s="33"/>
      <c r="N18" s="32"/>
      <c r="O18" s="33"/>
      <c r="P18" s="37" t="str">
        <f aca="true">IF(E18="","",IFERROR(INDEX(CatLife,MATCH(E18,Cats,0)),""))</f>
        <v/>
      </c>
      <c r="Q18" s="36" t="str">
        <f aca="false">IF(OR(J18="",P18="",P18=0),IF(J18="","",0),J18/P18)</f>
        <v/>
      </c>
      <c r="R18" s="36" t="str">
        <f aca="false">IF(OR(Q18="",L18=""),"",MIN(J18,Q18*MAX(0,CurYear-L18)))</f>
        <v/>
      </c>
      <c r="S18" s="36" t="str">
        <f aca="false">IF(R18="",IF(J18="","",J18),J18-R18)</f>
        <v/>
      </c>
      <c r="T18" s="32"/>
    </row>
    <row r="19" customFormat="false" ht="15" hidden="false" customHeight="false" outlineLevel="0" collapsed="false">
      <c r="A19" s="31" t="str">
        <f aca="false">IF(C19="","",ROW()-9)</f>
        <v/>
      </c>
      <c r="B19" s="31" t="str">
        <f aca="true">IF(OR(C19="",F19=""),"","HH-"&amp;INDEX(DeptCodes,MATCH(F19,Depts,0))&amp;"-"&amp;TEXT(COUNTIF(F$10:F19,F19),"000"))</f>
        <v/>
      </c>
      <c r="C19" s="32"/>
      <c r="D19" s="32"/>
      <c r="E19" s="33"/>
      <c r="F19" s="33"/>
      <c r="G19" s="34"/>
      <c r="H19" s="33"/>
      <c r="I19" s="35"/>
      <c r="J19" s="36" t="str">
        <f aca="false">IF(OR(G19="",I19=""),"",G19*I19)</f>
        <v/>
      </c>
      <c r="K19" s="33"/>
      <c r="L19" s="34"/>
      <c r="M19" s="33"/>
      <c r="N19" s="32"/>
      <c r="O19" s="33"/>
      <c r="P19" s="37" t="str">
        <f aca="true">IF(E19="","",IFERROR(INDEX(CatLife,MATCH(E19,Cats,0)),""))</f>
        <v/>
      </c>
      <c r="Q19" s="36" t="str">
        <f aca="false">IF(OR(J19="",P19="",P19=0),IF(J19="","",0),J19/P19)</f>
        <v/>
      </c>
      <c r="R19" s="36" t="str">
        <f aca="false">IF(OR(Q19="",L19=""),"",MIN(J19,Q19*MAX(0,CurYear-L19)))</f>
        <v/>
      </c>
      <c r="S19" s="36" t="str">
        <f aca="false">IF(R19="",IF(J19="","",J19),J19-R19)</f>
        <v/>
      </c>
      <c r="T19" s="32"/>
    </row>
    <row r="20" customFormat="false" ht="15" hidden="false" customHeight="false" outlineLevel="0" collapsed="false">
      <c r="A20" s="31" t="str">
        <f aca="false">IF(C20="","",ROW()-9)</f>
        <v/>
      </c>
      <c r="B20" s="31" t="str">
        <f aca="true">IF(OR(C20="",F20=""),"","HH-"&amp;INDEX(DeptCodes,MATCH(F20,Depts,0))&amp;"-"&amp;TEXT(COUNTIF(F$10:F20,F20),"000"))</f>
        <v/>
      </c>
      <c r="C20" s="32"/>
      <c r="D20" s="32"/>
      <c r="E20" s="33"/>
      <c r="F20" s="33"/>
      <c r="G20" s="34"/>
      <c r="H20" s="33"/>
      <c r="I20" s="35"/>
      <c r="J20" s="36" t="str">
        <f aca="false">IF(OR(G20="",I20=""),"",G20*I20)</f>
        <v/>
      </c>
      <c r="K20" s="33"/>
      <c r="L20" s="34"/>
      <c r="M20" s="33"/>
      <c r="N20" s="32"/>
      <c r="O20" s="33"/>
      <c r="P20" s="37" t="str">
        <f aca="true">IF(E20="","",IFERROR(INDEX(CatLife,MATCH(E20,Cats,0)),""))</f>
        <v/>
      </c>
      <c r="Q20" s="36" t="str">
        <f aca="false">IF(OR(J20="",P20="",P20=0),IF(J20="","",0),J20/P20)</f>
        <v/>
      </c>
      <c r="R20" s="36" t="str">
        <f aca="false">IF(OR(Q20="",L20=""),"",MIN(J20,Q20*MAX(0,CurYear-L20)))</f>
        <v/>
      </c>
      <c r="S20" s="36" t="str">
        <f aca="false">IF(R20="",IF(J20="","",J20),J20-R20)</f>
        <v/>
      </c>
      <c r="T20" s="32"/>
    </row>
    <row r="21" customFormat="false" ht="15" hidden="false" customHeight="false" outlineLevel="0" collapsed="false">
      <c r="A21" s="31" t="str">
        <f aca="false">IF(C21="","",ROW()-9)</f>
        <v/>
      </c>
      <c r="B21" s="31" t="str">
        <f aca="true">IF(OR(C21="",F21=""),"","HH-"&amp;INDEX(DeptCodes,MATCH(F21,Depts,0))&amp;"-"&amp;TEXT(COUNTIF(F$10:F21,F21),"000"))</f>
        <v/>
      </c>
      <c r="C21" s="32"/>
      <c r="D21" s="32"/>
      <c r="E21" s="33"/>
      <c r="F21" s="33"/>
      <c r="G21" s="34"/>
      <c r="H21" s="33"/>
      <c r="I21" s="35"/>
      <c r="J21" s="36" t="str">
        <f aca="false">IF(OR(G21="",I21=""),"",G21*I21)</f>
        <v/>
      </c>
      <c r="K21" s="33"/>
      <c r="L21" s="34"/>
      <c r="M21" s="33"/>
      <c r="N21" s="32"/>
      <c r="O21" s="33"/>
      <c r="P21" s="37" t="str">
        <f aca="true">IF(E21="","",IFERROR(INDEX(CatLife,MATCH(E21,Cats,0)),""))</f>
        <v/>
      </c>
      <c r="Q21" s="36" t="str">
        <f aca="false">IF(OR(J21="",P21="",P21=0),IF(J21="","",0),J21/P21)</f>
        <v/>
      </c>
      <c r="R21" s="36" t="str">
        <f aca="false">IF(OR(Q21="",L21=""),"",MIN(J21,Q21*MAX(0,CurYear-L21)))</f>
        <v/>
      </c>
      <c r="S21" s="36" t="str">
        <f aca="false">IF(R21="",IF(J21="","",J21),J21-R21)</f>
        <v/>
      </c>
      <c r="T21" s="32"/>
    </row>
    <row r="22" customFormat="false" ht="15" hidden="false" customHeight="false" outlineLevel="0" collapsed="false">
      <c r="A22" s="31" t="str">
        <f aca="false">IF(C22="","",ROW()-9)</f>
        <v/>
      </c>
      <c r="B22" s="31" t="str">
        <f aca="true">IF(OR(C22="",F22=""),"","HH-"&amp;INDEX(DeptCodes,MATCH(F22,Depts,0))&amp;"-"&amp;TEXT(COUNTIF(F$10:F22,F22),"000"))</f>
        <v/>
      </c>
      <c r="C22" s="32"/>
      <c r="D22" s="32"/>
      <c r="E22" s="33"/>
      <c r="F22" s="33"/>
      <c r="G22" s="34"/>
      <c r="H22" s="33"/>
      <c r="I22" s="35"/>
      <c r="J22" s="36" t="str">
        <f aca="false">IF(OR(G22="",I22=""),"",G22*I22)</f>
        <v/>
      </c>
      <c r="K22" s="33"/>
      <c r="L22" s="34"/>
      <c r="M22" s="33"/>
      <c r="N22" s="32"/>
      <c r="O22" s="33"/>
      <c r="P22" s="37" t="str">
        <f aca="true">IF(E22="","",IFERROR(INDEX(CatLife,MATCH(E22,Cats,0)),""))</f>
        <v/>
      </c>
      <c r="Q22" s="36" t="str">
        <f aca="false">IF(OR(J22="",P22="",P22=0),IF(J22="","",0),J22/P22)</f>
        <v/>
      </c>
      <c r="R22" s="36" t="str">
        <f aca="false">IF(OR(Q22="",L22=""),"",MIN(J22,Q22*MAX(0,CurYear-L22)))</f>
        <v/>
      </c>
      <c r="S22" s="36" t="str">
        <f aca="false">IF(R22="",IF(J22="","",J22),J22-R22)</f>
        <v/>
      </c>
      <c r="T22" s="32"/>
    </row>
    <row r="23" customFormat="false" ht="15" hidden="false" customHeight="false" outlineLevel="0" collapsed="false">
      <c r="A23" s="31" t="str">
        <f aca="false">IF(C23="","",ROW()-9)</f>
        <v/>
      </c>
      <c r="B23" s="31" t="str">
        <f aca="true">IF(OR(C23="",F23=""),"","HH-"&amp;INDEX(DeptCodes,MATCH(F23,Depts,0))&amp;"-"&amp;TEXT(COUNTIF(F$10:F23,F23),"000"))</f>
        <v/>
      </c>
      <c r="C23" s="32"/>
      <c r="D23" s="32"/>
      <c r="E23" s="33"/>
      <c r="F23" s="33"/>
      <c r="G23" s="34"/>
      <c r="H23" s="33"/>
      <c r="I23" s="35"/>
      <c r="J23" s="36" t="str">
        <f aca="false">IF(OR(G23="",I23=""),"",G23*I23)</f>
        <v/>
      </c>
      <c r="K23" s="33"/>
      <c r="L23" s="34"/>
      <c r="M23" s="33"/>
      <c r="N23" s="32"/>
      <c r="O23" s="33"/>
      <c r="P23" s="37" t="str">
        <f aca="true">IF(E23="","",IFERROR(INDEX(CatLife,MATCH(E23,Cats,0)),""))</f>
        <v/>
      </c>
      <c r="Q23" s="36" t="str">
        <f aca="false">IF(OR(J23="",P23="",P23=0),IF(J23="","",0),J23/P23)</f>
        <v/>
      </c>
      <c r="R23" s="36" t="str">
        <f aca="false">IF(OR(Q23="",L23=""),"",MIN(J23,Q23*MAX(0,CurYear-L23)))</f>
        <v/>
      </c>
      <c r="S23" s="36" t="str">
        <f aca="false">IF(R23="",IF(J23="","",J23),J23-R23)</f>
        <v/>
      </c>
      <c r="T23" s="32"/>
    </row>
    <row r="24" customFormat="false" ht="15" hidden="false" customHeight="false" outlineLevel="0" collapsed="false">
      <c r="A24" s="31" t="str">
        <f aca="false">IF(C24="","",ROW()-9)</f>
        <v/>
      </c>
      <c r="B24" s="31" t="str">
        <f aca="true">IF(OR(C24="",F24=""),"","HH-"&amp;INDEX(DeptCodes,MATCH(F24,Depts,0))&amp;"-"&amp;TEXT(COUNTIF(F$10:F24,F24),"000"))</f>
        <v/>
      </c>
      <c r="C24" s="32"/>
      <c r="D24" s="32"/>
      <c r="E24" s="33"/>
      <c r="F24" s="33"/>
      <c r="G24" s="34"/>
      <c r="H24" s="33"/>
      <c r="I24" s="35"/>
      <c r="J24" s="36" t="str">
        <f aca="false">IF(OR(G24="",I24=""),"",G24*I24)</f>
        <v/>
      </c>
      <c r="K24" s="33"/>
      <c r="L24" s="34"/>
      <c r="M24" s="33"/>
      <c r="N24" s="32"/>
      <c r="O24" s="33"/>
      <c r="P24" s="37" t="str">
        <f aca="true">IF(E24="","",IFERROR(INDEX(CatLife,MATCH(E24,Cats,0)),""))</f>
        <v/>
      </c>
      <c r="Q24" s="36" t="str">
        <f aca="false">IF(OR(J24="",P24="",P24=0),IF(J24="","",0),J24/P24)</f>
        <v/>
      </c>
      <c r="R24" s="36" t="str">
        <f aca="false">IF(OR(Q24="",L24=""),"",MIN(J24,Q24*MAX(0,CurYear-L24)))</f>
        <v/>
      </c>
      <c r="S24" s="36" t="str">
        <f aca="false">IF(R24="",IF(J24="","",J24),J24-R24)</f>
        <v/>
      </c>
      <c r="T24" s="32"/>
    </row>
    <row r="25" customFormat="false" ht="15" hidden="false" customHeight="false" outlineLevel="0" collapsed="false">
      <c r="A25" s="31" t="str">
        <f aca="false">IF(C25="","",ROW()-9)</f>
        <v/>
      </c>
      <c r="B25" s="31" t="str">
        <f aca="true">IF(OR(C25="",F25=""),"","HH-"&amp;INDEX(DeptCodes,MATCH(F25,Depts,0))&amp;"-"&amp;TEXT(COUNTIF(F$10:F25,F25),"000"))</f>
        <v/>
      </c>
      <c r="C25" s="32"/>
      <c r="D25" s="32"/>
      <c r="E25" s="33"/>
      <c r="F25" s="33"/>
      <c r="G25" s="34"/>
      <c r="H25" s="33"/>
      <c r="I25" s="35"/>
      <c r="J25" s="36" t="str">
        <f aca="false">IF(OR(G25="",I25=""),"",G25*I25)</f>
        <v/>
      </c>
      <c r="K25" s="33"/>
      <c r="L25" s="34"/>
      <c r="M25" s="33"/>
      <c r="N25" s="32"/>
      <c r="O25" s="33"/>
      <c r="P25" s="37" t="str">
        <f aca="true">IF(E25="","",IFERROR(INDEX(CatLife,MATCH(E25,Cats,0)),""))</f>
        <v/>
      </c>
      <c r="Q25" s="36" t="str">
        <f aca="false">IF(OR(J25="",P25="",P25=0),IF(J25="","",0),J25/P25)</f>
        <v/>
      </c>
      <c r="R25" s="36" t="str">
        <f aca="false">IF(OR(Q25="",L25=""),"",MIN(J25,Q25*MAX(0,CurYear-L25)))</f>
        <v/>
      </c>
      <c r="S25" s="36" t="str">
        <f aca="false">IF(R25="",IF(J25="","",J25),J25-R25)</f>
        <v/>
      </c>
      <c r="T25" s="32"/>
    </row>
    <row r="26" customFormat="false" ht="15" hidden="false" customHeight="false" outlineLevel="0" collapsed="false">
      <c r="A26" s="31" t="str">
        <f aca="false">IF(C26="","",ROW()-9)</f>
        <v/>
      </c>
      <c r="B26" s="31" t="str">
        <f aca="true">IF(OR(C26="",F26=""),"","HH-"&amp;INDEX(DeptCodes,MATCH(F26,Depts,0))&amp;"-"&amp;TEXT(COUNTIF(F$10:F26,F26),"000"))</f>
        <v/>
      </c>
      <c r="C26" s="32"/>
      <c r="D26" s="32"/>
      <c r="E26" s="33"/>
      <c r="F26" s="33"/>
      <c r="G26" s="34"/>
      <c r="H26" s="33"/>
      <c r="I26" s="35"/>
      <c r="J26" s="36" t="str">
        <f aca="false">IF(OR(G26="",I26=""),"",G26*I26)</f>
        <v/>
      </c>
      <c r="K26" s="33"/>
      <c r="L26" s="34"/>
      <c r="M26" s="33"/>
      <c r="N26" s="32"/>
      <c r="O26" s="33"/>
      <c r="P26" s="37" t="str">
        <f aca="true">IF(E26="","",IFERROR(INDEX(CatLife,MATCH(E26,Cats,0)),""))</f>
        <v/>
      </c>
      <c r="Q26" s="36" t="str">
        <f aca="false">IF(OR(J26="",P26="",P26=0),IF(J26="","",0),J26/P26)</f>
        <v/>
      </c>
      <c r="R26" s="36" t="str">
        <f aca="false">IF(OR(Q26="",L26=""),"",MIN(J26,Q26*MAX(0,CurYear-L26)))</f>
        <v/>
      </c>
      <c r="S26" s="36" t="str">
        <f aca="false">IF(R26="",IF(J26="","",J26),J26-R26)</f>
        <v/>
      </c>
      <c r="T26" s="32"/>
    </row>
    <row r="27" customFormat="false" ht="15" hidden="false" customHeight="false" outlineLevel="0" collapsed="false">
      <c r="A27" s="31" t="str">
        <f aca="false">IF(C27="","",ROW()-9)</f>
        <v/>
      </c>
      <c r="B27" s="31" t="str">
        <f aca="true">IF(OR(C27="",F27=""),"","HH-"&amp;INDEX(DeptCodes,MATCH(F27,Depts,0))&amp;"-"&amp;TEXT(COUNTIF(F$10:F27,F27),"000"))</f>
        <v/>
      </c>
      <c r="C27" s="32"/>
      <c r="D27" s="32"/>
      <c r="E27" s="33"/>
      <c r="F27" s="33"/>
      <c r="G27" s="34"/>
      <c r="H27" s="33"/>
      <c r="I27" s="35"/>
      <c r="J27" s="36" t="str">
        <f aca="false">IF(OR(G27="",I27=""),"",G27*I27)</f>
        <v/>
      </c>
      <c r="K27" s="33"/>
      <c r="L27" s="34"/>
      <c r="M27" s="33"/>
      <c r="N27" s="32"/>
      <c r="O27" s="33"/>
      <c r="P27" s="37" t="str">
        <f aca="true">IF(E27="","",IFERROR(INDEX(CatLife,MATCH(E27,Cats,0)),""))</f>
        <v/>
      </c>
      <c r="Q27" s="36" t="str">
        <f aca="false">IF(OR(J27="",P27="",P27=0),IF(J27="","",0),J27/P27)</f>
        <v/>
      </c>
      <c r="R27" s="36" t="str">
        <f aca="false">IF(OR(Q27="",L27=""),"",MIN(J27,Q27*MAX(0,CurYear-L27)))</f>
        <v/>
      </c>
      <c r="S27" s="36" t="str">
        <f aca="false">IF(R27="",IF(J27="","",J27),J27-R27)</f>
        <v/>
      </c>
      <c r="T27" s="32"/>
    </row>
    <row r="28" customFormat="false" ht="15" hidden="false" customHeight="false" outlineLevel="0" collapsed="false">
      <c r="A28" s="31" t="str">
        <f aca="false">IF(C28="","",ROW()-9)</f>
        <v/>
      </c>
      <c r="B28" s="31" t="str">
        <f aca="true">IF(OR(C28="",F28=""),"","HH-"&amp;INDEX(DeptCodes,MATCH(F28,Depts,0))&amp;"-"&amp;TEXT(COUNTIF(F$10:F28,F28),"000"))</f>
        <v/>
      </c>
      <c r="C28" s="32"/>
      <c r="D28" s="32"/>
      <c r="E28" s="33"/>
      <c r="F28" s="33"/>
      <c r="G28" s="34"/>
      <c r="H28" s="33"/>
      <c r="I28" s="35"/>
      <c r="J28" s="36" t="str">
        <f aca="false">IF(OR(G28="",I28=""),"",G28*I28)</f>
        <v/>
      </c>
      <c r="K28" s="33"/>
      <c r="L28" s="34"/>
      <c r="M28" s="33"/>
      <c r="N28" s="32"/>
      <c r="O28" s="33"/>
      <c r="P28" s="37" t="str">
        <f aca="true">IF(E28="","",IFERROR(INDEX(CatLife,MATCH(E28,Cats,0)),""))</f>
        <v/>
      </c>
      <c r="Q28" s="36" t="str">
        <f aca="false">IF(OR(J28="",P28="",P28=0),IF(J28="","",0),J28/P28)</f>
        <v/>
      </c>
      <c r="R28" s="36" t="str">
        <f aca="false">IF(OR(Q28="",L28=""),"",MIN(J28,Q28*MAX(0,CurYear-L28)))</f>
        <v/>
      </c>
      <c r="S28" s="36" t="str">
        <f aca="false">IF(R28="",IF(J28="","",J28),J28-R28)</f>
        <v/>
      </c>
      <c r="T28" s="32"/>
    </row>
    <row r="29" customFormat="false" ht="15" hidden="false" customHeight="false" outlineLevel="0" collapsed="false">
      <c r="A29" s="31" t="str">
        <f aca="false">IF(C29="","",ROW()-9)</f>
        <v/>
      </c>
      <c r="B29" s="31" t="str">
        <f aca="true">IF(OR(C29="",F29=""),"","HH-"&amp;INDEX(DeptCodes,MATCH(F29,Depts,0))&amp;"-"&amp;TEXT(COUNTIF(F$10:F29,F29),"000"))</f>
        <v/>
      </c>
      <c r="C29" s="32"/>
      <c r="D29" s="32"/>
      <c r="E29" s="33"/>
      <c r="F29" s="33"/>
      <c r="G29" s="34"/>
      <c r="H29" s="33"/>
      <c r="I29" s="35"/>
      <c r="J29" s="36" t="str">
        <f aca="false">IF(OR(G29="",I29=""),"",G29*I29)</f>
        <v/>
      </c>
      <c r="K29" s="33"/>
      <c r="L29" s="34"/>
      <c r="M29" s="33"/>
      <c r="N29" s="32"/>
      <c r="O29" s="33"/>
      <c r="P29" s="37" t="str">
        <f aca="true">IF(E29="","",IFERROR(INDEX(CatLife,MATCH(E29,Cats,0)),""))</f>
        <v/>
      </c>
      <c r="Q29" s="36" t="str">
        <f aca="false">IF(OR(J29="",P29="",P29=0),IF(J29="","",0),J29/P29)</f>
        <v/>
      </c>
      <c r="R29" s="36" t="str">
        <f aca="false">IF(OR(Q29="",L29=""),"",MIN(J29,Q29*MAX(0,CurYear-L29)))</f>
        <v/>
      </c>
      <c r="S29" s="36" t="str">
        <f aca="false">IF(R29="",IF(J29="","",J29),J29-R29)</f>
        <v/>
      </c>
      <c r="T29" s="32"/>
    </row>
    <row r="30" customFormat="false" ht="15" hidden="false" customHeight="false" outlineLevel="0" collapsed="false">
      <c r="A30" s="31" t="str">
        <f aca="false">IF(C30="","",ROW()-9)</f>
        <v/>
      </c>
      <c r="B30" s="31" t="str">
        <f aca="true">IF(OR(C30="",F30=""),"","HH-"&amp;INDEX(DeptCodes,MATCH(F30,Depts,0))&amp;"-"&amp;TEXT(COUNTIF(F$10:F30,F30),"000"))</f>
        <v/>
      </c>
      <c r="C30" s="32"/>
      <c r="D30" s="32"/>
      <c r="E30" s="33"/>
      <c r="F30" s="33"/>
      <c r="G30" s="34"/>
      <c r="H30" s="33"/>
      <c r="I30" s="35"/>
      <c r="J30" s="36" t="str">
        <f aca="false">IF(OR(G30="",I30=""),"",G30*I30)</f>
        <v/>
      </c>
      <c r="K30" s="33"/>
      <c r="L30" s="34"/>
      <c r="M30" s="33"/>
      <c r="N30" s="32"/>
      <c r="O30" s="33"/>
      <c r="P30" s="37" t="str">
        <f aca="true">IF(E30="","",IFERROR(INDEX(CatLife,MATCH(E30,Cats,0)),""))</f>
        <v/>
      </c>
      <c r="Q30" s="36" t="str">
        <f aca="false">IF(OR(J30="",P30="",P30=0),IF(J30="","",0),J30/P30)</f>
        <v/>
      </c>
      <c r="R30" s="36" t="str">
        <f aca="false">IF(OR(Q30="",L30=""),"",MIN(J30,Q30*MAX(0,CurYear-L30)))</f>
        <v/>
      </c>
      <c r="S30" s="36" t="str">
        <f aca="false">IF(R30="",IF(J30="","",J30),J30-R30)</f>
        <v/>
      </c>
      <c r="T30" s="32"/>
    </row>
    <row r="31" customFormat="false" ht="15" hidden="false" customHeight="false" outlineLevel="0" collapsed="false">
      <c r="A31" s="31" t="str">
        <f aca="false">IF(C31="","",ROW()-9)</f>
        <v/>
      </c>
      <c r="B31" s="31" t="str">
        <f aca="true">IF(OR(C31="",F31=""),"","HH-"&amp;INDEX(DeptCodes,MATCH(F31,Depts,0))&amp;"-"&amp;TEXT(COUNTIF(F$10:F31,F31),"000"))</f>
        <v/>
      </c>
      <c r="C31" s="32"/>
      <c r="D31" s="32"/>
      <c r="E31" s="33"/>
      <c r="F31" s="33"/>
      <c r="G31" s="34"/>
      <c r="H31" s="33"/>
      <c r="I31" s="35"/>
      <c r="J31" s="36" t="str">
        <f aca="false">IF(OR(G31="",I31=""),"",G31*I31)</f>
        <v/>
      </c>
      <c r="K31" s="33"/>
      <c r="L31" s="34"/>
      <c r="M31" s="33"/>
      <c r="N31" s="32"/>
      <c r="O31" s="33"/>
      <c r="P31" s="37" t="str">
        <f aca="true">IF(E31="","",IFERROR(INDEX(CatLife,MATCH(E31,Cats,0)),""))</f>
        <v/>
      </c>
      <c r="Q31" s="36" t="str">
        <f aca="false">IF(OR(J31="",P31="",P31=0),IF(J31="","",0),J31/P31)</f>
        <v/>
      </c>
      <c r="R31" s="36" t="str">
        <f aca="false">IF(OR(Q31="",L31=""),"",MIN(J31,Q31*MAX(0,CurYear-L31)))</f>
        <v/>
      </c>
      <c r="S31" s="36" t="str">
        <f aca="false">IF(R31="",IF(J31="","",J31),J31-R31)</f>
        <v/>
      </c>
      <c r="T31" s="32"/>
    </row>
    <row r="32" customFormat="false" ht="15" hidden="false" customHeight="false" outlineLevel="0" collapsed="false">
      <c r="A32" s="31" t="str">
        <f aca="false">IF(C32="","",ROW()-9)</f>
        <v/>
      </c>
      <c r="B32" s="31" t="str">
        <f aca="true">IF(OR(C32="",F32=""),"","HH-"&amp;INDEX(DeptCodes,MATCH(F32,Depts,0))&amp;"-"&amp;TEXT(COUNTIF(F$10:F32,F32),"000"))</f>
        <v/>
      </c>
      <c r="C32" s="32"/>
      <c r="D32" s="32"/>
      <c r="E32" s="33"/>
      <c r="F32" s="33"/>
      <c r="G32" s="34"/>
      <c r="H32" s="33"/>
      <c r="I32" s="35"/>
      <c r="J32" s="36" t="str">
        <f aca="false">IF(OR(G32="",I32=""),"",G32*I32)</f>
        <v/>
      </c>
      <c r="K32" s="33"/>
      <c r="L32" s="34"/>
      <c r="M32" s="33"/>
      <c r="N32" s="32"/>
      <c r="O32" s="33"/>
      <c r="P32" s="37" t="str">
        <f aca="true">IF(E32="","",IFERROR(INDEX(CatLife,MATCH(E32,Cats,0)),""))</f>
        <v/>
      </c>
      <c r="Q32" s="36" t="str">
        <f aca="false">IF(OR(J32="",P32="",P32=0),IF(J32="","",0),J32/P32)</f>
        <v/>
      </c>
      <c r="R32" s="36" t="str">
        <f aca="false">IF(OR(Q32="",L32=""),"",MIN(J32,Q32*MAX(0,CurYear-L32)))</f>
        <v/>
      </c>
      <c r="S32" s="36" t="str">
        <f aca="false">IF(R32="",IF(J32="","",J32),J32-R32)</f>
        <v/>
      </c>
      <c r="T32" s="32"/>
    </row>
    <row r="33" customFormat="false" ht="15" hidden="false" customHeight="false" outlineLevel="0" collapsed="false">
      <c r="A33" s="31" t="str">
        <f aca="false">IF(C33="","",ROW()-9)</f>
        <v/>
      </c>
      <c r="B33" s="31" t="str">
        <f aca="true">IF(OR(C33="",F33=""),"","HH-"&amp;INDEX(DeptCodes,MATCH(F33,Depts,0))&amp;"-"&amp;TEXT(COUNTIF(F$10:F33,F33),"000"))</f>
        <v/>
      </c>
      <c r="C33" s="32"/>
      <c r="D33" s="32"/>
      <c r="E33" s="33"/>
      <c r="F33" s="33"/>
      <c r="G33" s="34"/>
      <c r="H33" s="33"/>
      <c r="I33" s="35"/>
      <c r="J33" s="36" t="str">
        <f aca="false">IF(OR(G33="",I33=""),"",G33*I33)</f>
        <v/>
      </c>
      <c r="K33" s="33"/>
      <c r="L33" s="34"/>
      <c r="M33" s="33"/>
      <c r="N33" s="32"/>
      <c r="O33" s="33"/>
      <c r="P33" s="37" t="str">
        <f aca="true">IF(E33="","",IFERROR(INDEX(CatLife,MATCH(E33,Cats,0)),""))</f>
        <v/>
      </c>
      <c r="Q33" s="36" t="str">
        <f aca="false">IF(OR(J33="",P33="",P33=0),IF(J33="","",0),J33/P33)</f>
        <v/>
      </c>
      <c r="R33" s="36" t="str">
        <f aca="false">IF(OR(Q33="",L33=""),"",MIN(J33,Q33*MAX(0,CurYear-L33)))</f>
        <v/>
      </c>
      <c r="S33" s="36" t="str">
        <f aca="false">IF(R33="",IF(J33="","",J33),J33-R33)</f>
        <v/>
      </c>
      <c r="T33" s="32"/>
    </row>
    <row r="34" customFormat="false" ht="15" hidden="false" customHeight="false" outlineLevel="0" collapsed="false">
      <c r="A34" s="31" t="str">
        <f aca="false">IF(C34="","",ROW()-9)</f>
        <v/>
      </c>
      <c r="B34" s="31" t="str">
        <f aca="true">IF(OR(C34="",F34=""),"","HH-"&amp;INDEX(DeptCodes,MATCH(F34,Depts,0))&amp;"-"&amp;TEXT(COUNTIF(F$10:F34,F34),"000"))</f>
        <v/>
      </c>
      <c r="C34" s="32"/>
      <c r="D34" s="32"/>
      <c r="E34" s="33"/>
      <c r="F34" s="33"/>
      <c r="G34" s="34"/>
      <c r="H34" s="33"/>
      <c r="I34" s="35"/>
      <c r="J34" s="36" t="str">
        <f aca="false">IF(OR(G34="",I34=""),"",G34*I34)</f>
        <v/>
      </c>
      <c r="K34" s="33"/>
      <c r="L34" s="34"/>
      <c r="M34" s="33"/>
      <c r="N34" s="32"/>
      <c r="O34" s="33"/>
      <c r="P34" s="37" t="str">
        <f aca="true">IF(E34="","",IFERROR(INDEX(CatLife,MATCH(E34,Cats,0)),""))</f>
        <v/>
      </c>
      <c r="Q34" s="36" t="str">
        <f aca="false">IF(OR(J34="",P34="",P34=0),IF(J34="","",0),J34/P34)</f>
        <v/>
      </c>
      <c r="R34" s="36" t="str">
        <f aca="false">IF(OR(Q34="",L34=""),"",MIN(J34,Q34*MAX(0,CurYear-L34)))</f>
        <v/>
      </c>
      <c r="S34" s="36" t="str">
        <f aca="false">IF(R34="",IF(J34="","",J34),J34-R34)</f>
        <v/>
      </c>
      <c r="T34" s="32"/>
    </row>
    <row r="35" customFormat="false" ht="15" hidden="false" customHeight="false" outlineLevel="0" collapsed="false">
      <c r="A35" s="31" t="str">
        <f aca="false">IF(C35="","",ROW()-9)</f>
        <v/>
      </c>
      <c r="B35" s="31" t="str">
        <f aca="true">IF(OR(C35="",F35=""),"","HH-"&amp;INDEX(DeptCodes,MATCH(F35,Depts,0))&amp;"-"&amp;TEXT(COUNTIF(F$10:F35,F35),"000"))</f>
        <v/>
      </c>
      <c r="C35" s="32"/>
      <c r="D35" s="32"/>
      <c r="E35" s="33"/>
      <c r="F35" s="33"/>
      <c r="G35" s="34"/>
      <c r="H35" s="33"/>
      <c r="I35" s="35"/>
      <c r="J35" s="36" t="str">
        <f aca="false">IF(OR(G35="",I35=""),"",G35*I35)</f>
        <v/>
      </c>
      <c r="K35" s="33"/>
      <c r="L35" s="34"/>
      <c r="M35" s="33"/>
      <c r="N35" s="32"/>
      <c r="O35" s="33"/>
      <c r="P35" s="37" t="str">
        <f aca="true">IF(E35="","",IFERROR(INDEX(CatLife,MATCH(E35,Cats,0)),""))</f>
        <v/>
      </c>
      <c r="Q35" s="36" t="str">
        <f aca="false">IF(OR(J35="",P35="",P35=0),IF(J35="","",0),J35/P35)</f>
        <v/>
      </c>
      <c r="R35" s="36" t="str">
        <f aca="false">IF(OR(Q35="",L35=""),"",MIN(J35,Q35*MAX(0,CurYear-L35)))</f>
        <v/>
      </c>
      <c r="S35" s="36" t="str">
        <f aca="false">IF(R35="",IF(J35="","",J35),J35-R35)</f>
        <v/>
      </c>
      <c r="T35" s="32"/>
    </row>
    <row r="36" customFormat="false" ht="15" hidden="false" customHeight="false" outlineLevel="0" collapsed="false">
      <c r="A36" s="31" t="str">
        <f aca="false">IF(C36="","",ROW()-9)</f>
        <v/>
      </c>
      <c r="B36" s="31" t="str">
        <f aca="true">IF(OR(C36="",F36=""),"","HH-"&amp;INDEX(DeptCodes,MATCH(F36,Depts,0))&amp;"-"&amp;TEXT(COUNTIF(F$10:F36,F36),"000"))</f>
        <v/>
      </c>
      <c r="C36" s="32"/>
      <c r="D36" s="32"/>
      <c r="E36" s="33"/>
      <c r="F36" s="33"/>
      <c r="G36" s="34"/>
      <c r="H36" s="33"/>
      <c r="I36" s="35"/>
      <c r="J36" s="36" t="str">
        <f aca="false">IF(OR(G36="",I36=""),"",G36*I36)</f>
        <v/>
      </c>
      <c r="K36" s="33"/>
      <c r="L36" s="34"/>
      <c r="M36" s="33"/>
      <c r="N36" s="32"/>
      <c r="O36" s="33"/>
      <c r="P36" s="37" t="str">
        <f aca="true">IF(E36="","",IFERROR(INDEX(CatLife,MATCH(E36,Cats,0)),""))</f>
        <v/>
      </c>
      <c r="Q36" s="36" t="str">
        <f aca="false">IF(OR(J36="",P36="",P36=0),IF(J36="","",0),J36/P36)</f>
        <v/>
      </c>
      <c r="R36" s="36" t="str">
        <f aca="false">IF(OR(Q36="",L36=""),"",MIN(J36,Q36*MAX(0,CurYear-L36)))</f>
        <v/>
      </c>
      <c r="S36" s="36" t="str">
        <f aca="false">IF(R36="",IF(J36="","",J36),J36-R36)</f>
        <v/>
      </c>
      <c r="T36" s="32"/>
    </row>
    <row r="37" customFormat="false" ht="15" hidden="false" customHeight="false" outlineLevel="0" collapsed="false">
      <c r="A37" s="31" t="str">
        <f aca="false">IF(C37="","",ROW()-9)</f>
        <v/>
      </c>
      <c r="B37" s="31" t="str">
        <f aca="true">IF(OR(C37="",F37=""),"","HH-"&amp;INDEX(DeptCodes,MATCH(F37,Depts,0))&amp;"-"&amp;TEXT(COUNTIF(F$10:F37,F37),"000"))</f>
        <v/>
      </c>
      <c r="C37" s="32"/>
      <c r="D37" s="32"/>
      <c r="E37" s="33"/>
      <c r="F37" s="33"/>
      <c r="G37" s="34"/>
      <c r="H37" s="33"/>
      <c r="I37" s="35"/>
      <c r="J37" s="36" t="str">
        <f aca="false">IF(OR(G37="",I37=""),"",G37*I37)</f>
        <v/>
      </c>
      <c r="K37" s="33"/>
      <c r="L37" s="34"/>
      <c r="M37" s="33"/>
      <c r="N37" s="32"/>
      <c r="O37" s="33"/>
      <c r="P37" s="37" t="str">
        <f aca="true">IF(E37="","",IFERROR(INDEX(CatLife,MATCH(E37,Cats,0)),""))</f>
        <v/>
      </c>
      <c r="Q37" s="36" t="str">
        <f aca="false">IF(OR(J37="",P37="",P37=0),IF(J37="","",0),J37/P37)</f>
        <v/>
      </c>
      <c r="R37" s="36" t="str">
        <f aca="false">IF(OR(Q37="",L37=""),"",MIN(J37,Q37*MAX(0,CurYear-L37)))</f>
        <v/>
      </c>
      <c r="S37" s="36" t="str">
        <f aca="false">IF(R37="",IF(J37="","",J37),J37-R37)</f>
        <v/>
      </c>
      <c r="T37" s="32"/>
    </row>
    <row r="38" customFormat="false" ht="15" hidden="false" customHeight="false" outlineLevel="0" collapsed="false">
      <c r="A38" s="31" t="str">
        <f aca="false">IF(C38="","",ROW()-9)</f>
        <v/>
      </c>
      <c r="B38" s="31" t="str">
        <f aca="true">IF(OR(C38="",F38=""),"","HH-"&amp;INDEX(DeptCodes,MATCH(F38,Depts,0))&amp;"-"&amp;TEXT(COUNTIF(F$10:F38,F38),"000"))</f>
        <v/>
      </c>
      <c r="C38" s="32"/>
      <c r="D38" s="32"/>
      <c r="E38" s="33"/>
      <c r="F38" s="33"/>
      <c r="G38" s="34"/>
      <c r="H38" s="33"/>
      <c r="I38" s="35"/>
      <c r="J38" s="36" t="str">
        <f aca="false">IF(OR(G38="",I38=""),"",G38*I38)</f>
        <v/>
      </c>
      <c r="K38" s="33"/>
      <c r="L38" s="34"/>
      <c r="M38" s="33"/>
      <c r="N38" s="32"/>
      <c r="O38" s="33"/>
      <c r="P38" s="37" t="str">
        <f aca="true">IF(E38="","",IFERROR(INDEX(CatLife,MATCH(E38,Cats,0)),""))</f>
        <v/>
      </c>
      <c r="Q38" s="36" t="str">
        <f aca="false">IF(OR(J38="",P38="",P38=0),IF(J38="","",0),J38/P38)</f>
        <v/>
      </c>
      <c r="R38" s="36" t="str">
        <f aca="false">IF(OR(Q38="",L38=""),"",MIN(J38,Q38*MAX(0,CurYear-L38)))</f>
        <v/>
      </c>
      <c r="S38" s="36" t="str">
        <f aca="false">IF(R38="",IF(J38="","",J38),J38-R38)</f>
        <v/>
      </c>
      <c r="T38" s="32"/>
    </row>
    <row r="39" customFormat="false" ht="15" hidden="false" customHeight="false" outlineLevel="0" collapsed="false">
      <c r="A39" s="31" t="str">
        <f aca="false">IF(C39="","",ROW()-9)</f>
        <v/>
      </c>
      <c r="B39" s="31" t="str">
        <f aca="true">IF(OR(C39="",F39=""),"","HH-"&amp;INDEX(DeptCodes,MATCH(F39,Depts,0))&amp;"-"&amp;TEXT(COUNTIF(F$10:F39,F39),"000"))</f>
        <v/>
      </c>
      <c r="C39" s="32"/>
      <c r="D39" s="32"/>
      <c r="E39" s="33"/>
      <c r="F39" s="33"/>
      <c r="G39" s="34"/>
      <c r="H39" s="33"/>
      <c r="I39" s="35"/>
      <c r="J39" s="36" t="str">
        <f aca="false">IF(OR(G39="",I39=""),"",G39*I39)</f>
        <v/>
      </c>
      <c r="K39" s="33"/>
      <c r="L39" s="34"/>
      <c r="M39" s="33"/>
      <c r="N39" s="32"/>
      <c r="O39" s="33"/>
      <c r="P39" s="37" t="str">
        <f aca="true">IF(E39="","",IFERROR(INDEX(CatLife,MATCH(E39,Cats,0)),""))</f>
        <v/>
      </c>
      <c r="Q39" s="36" t="str">
        <f aca="false">IF(OR(J39="",P39="",P39=0),IF(J39="","",0),J39/P39)</f>
        <v/>
      </c>
      <c r="R39" s="36" t="str">
        <f aca="false">IF(OR(Q39="",L39=""),"",MIN(J39,Q39*MAX(0,CurYear-L39)))</f>
        <v/>
      </c>
      <c r="S39" s="36" t="str">
        <f aca="false">IF(R39="",IF(J39="","",J39),J39-R39)</f>
        <v/>
      </c>
      <c r="T39" s="32"/>
    </row>
    <row r="40" customFormat="false" ht="15" hidden="false" customHeight="false" outlineLevel="0" collapsed="false">
      <c r="A40" s="31" t="str">
        <f aca="false">IF(C40="","",ROW()-9)</f>
        <v/>
      </c>
      <c r="B40" s="31" t="str">
        <f aca="true">IF(OR(C40="",F40=""),"","HH-"&amp;INDEX(DeptCodes,MATCH(F40,Depts,0))&amp;"-"&amp;TEXT(COUNTIF(F$10:F40,F40),"000"))</f>
        <v/>
      </c>
      <c r="C40" s="32"/>
      <c r="D40" s="32"/>
      <c r="E40" s="33"/>
      <c r="F40" s="33"/>
      <c r="G40" s="34"/>
      <c r="H40" s="33"/>
      <c r="I40" s="35"/>
      <c r="J40" s="36" t="str">
        <f aca="false">IF(OR(G40="",I40=""),"",G40*I40)</f>
        <v/>
      </c>
      <c r="K40" s="33"/>
      <c r="L40" s="34"/>
      <c r="M40" s="33"/>
      <c r="N40" s="32"/>
      <c r="O40" s="33"/>
      <c r="P40" s="37" t="str">
        <f aca="true">IF(E40="","",IFERROR(INDEX(CatLife,MATCH(E40,Cats,0)),""))</f>
        <v/>
      </c>
      <c r="Q40" s="36" t="str">
        <f aca="false">IF(OR(J40="",P40="",P40=0),IF(J40="","",0),J40/P40)</f>
        <v/>
      </c>
      <c r="R40" s="36" t="str">
        <f aca="false">IF(OR(Q40="",L40=""),"",MIN(J40,Q40*MAX(0,CurYear-L40)))</f>
        <v/>
      </c>
      <c r="S40" s="36" t="str">
        <f aca="false">IF(R40="",IF(J40="","",J40),J40-R40)</f>
        <v/>
      </c>
      <c r="T40" s="32"/>
    </row>
    <row r="41" customFormat="false" ht="15" hidden="false" customHeight="false" outlineLevel="0" collapsed="false">
      <c r="A41" s="31" t="str">
        <f aca="false">IF(C41="","",ROW()-9)</f>
        <v/>
      </c>
      <c r="B41" s="31" t="str">
        <f aca="true">IF(OR(C41="",F41=""),"","HH-"&amp;INDEX(DeptCodes,MATCH(F41,Depts,0))&amp;"-"&amp;TEXT(COUNTIF(F$10:F41,F41),"000"))</f>
        <v/>
      </c>
      <c r="C41" s="32"/>
      <c r="D41" s="32"/>
      <c r="E41" s="33"/>
      <c r="F41" s="33"/>
      <c r="G41" s="34"/>
      <c r="H41" s="33"/>
      <c r="I41" s="35"/>
      <c r="J41" s="36" t="str">
        <f aca="false">IF(OR(G41="",I41=""),"",G41*I41)</f>
        <v/>
      </c>
      <c r="K41" s="33"/>
      <c r="L41" s="34"/>
      <c r="M41" s="33"/>
      <c r="N41" s="32"/>
      <c r="O41" s="33"/>
      <c r="P41" s="37" t="str">
        <f aca="true">IF(E41="","",IFERROR(INDEX(CatLife,MATCH(E41,Cats,0)),""))</f>
        <v/>
      </c>
      <c r="Q41" s="36" t="str">
        <f aca="false">IF(OR(J41="",P41="",P41=0),IF(J41="","",0),J41/P41)</f>
        <v/>
      </c>
      <c r="R41" s="36" t="str">
        <f aca="false">IF(OR(Q41="",L41=""),"",MIN(J41,Q41*MAX(0,CurYear-L41)))</f>
        <v/>
      </c>
      <c r="S41" s="36" t="str">
        <f aca="false">IF(R41="",IF(J41="","",J41),J41-R41)</f>
        <v/>
      </c>
      <c r="T41" s="32"/>
    </row>
    <row r="42" customFormat="false" ht="15" hidden="false" customHeight="false" outlineLevel="0" collapsed="false">
      <c r="A42" s="31" t="str">
        <f aca="false">IF(C42="","",ROW()-9)</f>
        <v/>
      </c>
      <c r="B42" s="31" t="str">
        <f aca="true">IF(OR(C42="",F42=""),"","HH-"&amp;INDEX(DeptCodes,MATCH(F42,Depts,0))&amp;"-"&amp;TEXT(COUNTIF(F$10:F42,F42),"000"))</f>
        <v/>
      </c>
      <c r="C42" s="32"/>
      <c r="D42" s="32"/>
      <c r="E42" s="33"/>
      <c r="F42" s="33"/>
      <c r="G42" s="34"/>
      <c r="H42" s="33"/>
      <c r="I42" s="35"/>
      <c r="J42" s="36" t="str">
        <f aca="false">IF(OR(G42="",I42=""),"",G42*I42)</f>
        <v/>
      </c>
      <c r="K42" s="33"/>
      <c r="L42" s="34"/>
      <c r="M42" s="33"/>
      <c r="N42" s="32"/>
      <c r="O42" s="33"/>
      <c r="P42" s="37" t="str">
        <f aca="true">IF(E42="","",IFERROR(INDEX(CatLife,MATCH(E42,Cats,0)),""))</f>
        <v/>
      </c>
      <c r="Q42" s="36" t="str">
        <f aca="false">IF(OR(J42="",P42="",P42=0),IF(J42="","",0),J42/P42)</f>
        <v/>
      </c>
      <c r="R42" s="36" t="str">
        <f aca="false">IF(OR(Q42="",L42=""),"",MIN(J42,Q42*MAX(0,CurYear-L42)))</f>
        <v/>
      </c>
      <c r="S42" s="36" t="str">
        <f aca="false">IF(R42="",IF(J42="","",J42),J42-R42)</f>
        <v/>
      </c>
      <c r="T42" s="32"/>
    </row>
    <row r="43" customFormat="false" ht="15" hidden="false" customHeight="false" outlineLevel="0" collapsed="false">
      <c r="A43" s="31" t="str">
        <f aca="false">IF(C43="","",ROW()-9)</f>
        <v/>
      </c>
      <c r="B43" s="31" t="str">
        <f aca="true">IF(OR(C43="",F43=""),"","HH-"&amp;INDEX(DeptCodes,MATCH(F43,Depts,0))&amp;"-"&amp;TEXT(COUNTIF(F$10:F43,F43),"000"))</f>
        <v/>
      </c>
      <c r="C43" s="32"/>
      <c r="D43" s="32"/>
      <c r="E43" s="33"/>
      <c r="F43" s="33"/>
      <c r="G43" s="34"/>
      <c r="H43" s="33"/>
      <c r="I43" s="35"/>
      <c r="J43" s="36" t="str">
        <f aca="false">IF(OR(G43="",I43=""),"",G43*I43)</f>
        <v/>
      </c>
      <c r="K43" s="33"/>
      <c r="L43" s="34"/>
      <c r="M43" s="33"/>
      <c r="N43" s="32"/>
      <c r="O43" s="33"/>
      <c r="P43" s="37" t="str">
        <f aca="true">IF(E43="","",IFERROR(INDEX(CatLife,MATCH(E43,Cats,0)),""))</f>
        <v/>
      </c>
      <c r="Q43" s="36" t="str">
        <f aca="false">IF(OR(J43="",P43="",P43=0),IF(J43="","",0),J43/P43)</f>
        <v/>
      </c>
      <c r="R43" s="36" t="str">
        <f aca="false">IF(OR(Q43="",L43=""),"",MIN(J43,Q43*MAX(0,CurYear-L43)))</f>
        <v/>
      </c>
      <c r="S43" s="36" t="str">
        <f aca="false">IF(R43="",IF(J43="","",J43),J43-R43)</f>
        <v/>
      </c>
      <c r="T43" s="32"/>
    </row>
    <row r="44" customFormat="false" ht="15" hidden="false" customHeight="false" outlineLevel="0" collapsed="false">
      <c r="A44" s="31" t="str">
        <f aca="false">IF(C44="","",ROW()-9)</f>
        <v/>
      </c>
      <c r="B44" s="31" t="str">
        <f aca="true">IF(OR(C44="",F44=""),"","HH-"&amp;INDEX(DeptCodes,MATCH(F44,Depts,0))&amp;"-"&amp;TEXT(COUNTIF(F$10:F44,F44),"000"))</f>
        <v/>
      </c>
      <c r="C44" s="32"/>
      <c r="D44" s="32"/>
      <c r="E44" s="33"/>
      <c r="F44" s="33"/>
      <c r="G44" s="34"/>
      <c r="H44" s="33"/>
      <c r="I44" s="35"/>
      <c r="J44" s="36" t="str">
        <f aca="false">IF(OR(G44="",I44=""),"",G44*I44)</f>
        <v/>
      </c>
      <c r="K44" s="33"/>
      <c r="L44" s="34"/>
      <c r="M44" s="33"/>
      <c r="N44" s="32"/>
      <c r="O44" s="33"/>
      <c r="P44" s="37" t="str">
        <f aca="true">IF(E44="","",IFERROR(INDEX(CatLife,MATCH(E44,Cats,0)),""))</f>
        <v/>
      </c>
      <c r="Q44" s="36" t="str">
        <f aca="false">IF(OR(J44="",P44="",P44=0),IF(J44="","",0),J44/P44)</f>
        <v/>
      </c>
      <c r="R44" s="36" t="str">
        <f aca="false">IF(OR(Q44="",L44=""),"",MIN(J44,Q44*MAX(0,CurYear-L44)))</f>
        <v/>
      </c>
      <c r="S44" s="36" t="str">
        <f aca="false">IF(R44="",IF(J44="","",J44),J44-R44)</f>
        <v/>
      </c>
      <c r="T44" s="32"/>
    </row>
    <row r="45" customFormat="false" ht="15" hidden="false" customHeight="false" outlineLevel="0" collapsed="false">
      <c r="A45" s="31" t="str">
        <f aca="false">IF(C45="","",ROW()-9)</f>
        <v/>
      </c>
      <c r="B45" s="31" t="str">
        <f aca="true">IF(OR(C45="",F45=""),"","HH-"&amp;INDEX(DeptCodes,MATCH(F45,Depts,0))&amp;"-"&amp;TEXT(COUNTIF(F$10:F45,F45),"000"))</f>
        <v/>
      </c>
      <c r="C45" s="32"/>
      <c r="D45" s="32"/>
      <c r="E45" s="33"/>
      <c r="F45" s="33"/>
      <c r="G45" s="34"/>
      <c r="H45" s="33"/>
      <c r="I45" s="35"/>
      <c r="J45" s="36" t="str">
        <f aca="false">IF(OR(G45="",I45=""),"",G45*I45)</f>
        <v/>
      </c>
      <c r="K45" s="33"/>
      <c r="L45" s="34"/>
      <c r="M45" s="33"/>
      <c r="N45" s="32"/>
      <c r="O45" s="33"/>
      <c r="P45" s="37" t="str">
        <f aca="true">IF(E45="","",IFERROR(INDEX(CatLife,MATCH(E45,Cats,0)),""))</f>
        <v/>
      </c>
      <c r="Q45" s="36" t="str">
        <f aca="false">IF(OR(J45="",P45="",P45=0),IF(J45="","",0),J45/P45)</f>
        <v/>
      </c>
      <c r="R45" s="36" t="str">
        <f aca="false">IF(OR(Q45="",L45=""),"",MIN(J45,Q45*MAX(0,CurYear-L45)))</f>
        <v/>
      </c>
      <c r="S45" s="36" t="str">
        <f aca="false">IF(R45="",IF(J45="","",J45),J45-R45)</f>
        <v/>
      </c>
      <c r="T45" s="32"/>
    </row>
    <row r="46" customFormat="false" ht="15" hidden="false" customHeight="false" outlineLevel="0" collapsed="false">
      <c r="A46" s="31" t="str">
        <f aca="false">IF(C46="","",ROW()-9)</f>
        <v/>
      </c>
      <c r="B46" s="31" t="str">
        <f aca="true">IF(OR(C46="",F46=""),"","HH-"&amp;INDEX(DeptCodes,MATCH(F46,Depts,0))&amp;"-"&amp;TEXT(COUNTIF(F$10:F46,F46),"000"))</f>
        <v/>
      </c>
      <c r="C46" s="32"/>
      <c r="D46" s="32"/>
      <c r="E46" s="33"/>
      <c r="F46" s="33"/>
      <c r="G46" s="34"/>
      <c r="H46" s="33"/>
      <c r="I46" s="35"/>
      <c r="J46" s="36" t="str">
        <f aca="false">IF(OR(G46="",I46=""),"",G46*I46)</f>
        <v/>
      </c>
      <c r="K46" s="33"/>
      <c r="L46" s="34"/>
      <c r="M46" s="33"/>
      <c r="N46" s="32"/>
      <c r="O46" s="33"/>
      <c r="P46" s="37" t="str">
        <f aca="true">IF(E46="","",IFERROR(INDEX(CatLife,MATCH(E46,Cats,0)),""))</f>
        <v/>
      </c>
      <c r="Q46" s="36" t="str">
        <f aca="false">IF(OR(J46="",P46="",P46=0),IF(J46="","",0),J46/P46)</f>
        <v/>
      </c>
      <c r="R46" s="36" t="str">
        <f aca="false">IF(OR(Q46="",L46=""),"",MIN(J46,Q46*MAX(0,CurYear-L46)))</f>
        <v/>
      </c>
      <c r="S46" s="36" t="str">
        <f aca="false">IF(R46="",IF(J46="","",J46),J46-R46)</f>
        <v/>
      </c>
      <c r="T46" s="32"/>
    </row>
    <row r="47" customFormat="false" ht="15" hidden="false" customHeight="false" outlineLevel="0" collapsed="false">
      <c r="A47" s="31" t="str">
        <f aca="false">IF(C47="","",ROW()-9)</f>
        <v/>
      </c>
      <c r="B47" s="31" t="str">
        <f aca="true">IF(OR(C47="",F47=""),"","HH-"&amp;INDEX(DeptCodes,MATCH(F47,Depts,0))&amp;"-"&amp;TEXT(COUNTIF(F$10:F47,F47),"000"))</f>
        <v/>
      </c>
      <c r="C47" s="32"/>
      <c r="D47" s="32"/>
      <c r="E47" s="33"/>
      <c r="F47" s="33"/>
      <c r="G47" s="34"/>
      <c r="H47" s="33"/>
      <c r="I47" s="35"/>
      <c r="J47" s="36" t="str">
        <f aca="false">IF(OR(G47="",I47=""),"",G47*I47)</f>
        <v/>
      </c>
      <c r="K47" s="33"/>
      <c r="L47" s="34"/>
      <c r="M47" s="33"/>
      <c r="N47" s="32"/>
      <c r="O47" s="33"/>
      <c r="P47" s="37" t="str">
        <f aca="true">IF(E47="","",IFERROR(INDEX(CatLife,MATCH(E47,Cats,0)),""))</f>
        <v/>
      </c>
      <c r="Q47" s="36" t="str">
        <f aca="false">IF(OR(J47="",P47="",P47=0),IF(J47="","",0),J47/P47)</f>
        <v/>
      </c>
      <c r="R47" s="36" t="str">
        <f aca="false">IF(OR(Q47="",L47=""),"",MIN(J47,Q47*MAX(0,CurYear-L47)))</f>
        <v/>
      </c>
      <c r="S47" s="36" t="str">
        <f aca="false">IF(R47="",IF(J47="","",J47),J47-R47)</f>
        <v/>
      </c>
      <c r="T47" s="32"/>
    </row>
    <row r="48" customFormat="false" ht="15" hidden="false" customHeight="false" outlineLevel="0" collapsed="false">
      <c r="A48" s="31" t="str">
        <f aca="false">IF(C48="","",ROW()-9)</f>
        <v/>
      </c>
      <c r="B48" s="31" t="str">
        <f aca="true">IF(OR(C48="",F48=""),"","HH-"&amp;INDEX(DeptCodes,MATCH(F48,Depts,0))&amp;"-"&amp;TEXT(COUNTIF(F$10:F48,F48),"000"))</f>
        <v/>
      </c>
      <c r="C48" s="32"/>
      <c r="D48" s="32"/>
      <c r="E48" s="33"/>
      <c r="F48" s="33"/>
      <c r="G48" s="34"/>
      <c r="H48" s="33"/>
      <c r="I48" s="35"/>
      <c r="J48" s="36" t="str">
        <f aca="false">IF(OR(G48="",I48=""),"",G48*I48)</f>
        <v/>
      </c>
      <c r="K48" s="33"/>
      <c r="L48" s="34"/>
      <c r="M48" s="33"/>
      <c r="N48" s="32"/>
      <c r="O48" s="33"/>
      <c r="P48" s="37" t="str">
        <f aca="true">IF(E48="","",IFERROR(INDEX(CatLife,MATCH(E48,Cats,0)),""))</f>
        <v/>
      </c>
      <c r="Q48" s="36" t="str">
        <f aca="false">IF(OR(J48="",P48="",P48=0),IF(J48="","",0),J48/P48)</f>
        <v/>
      </c>
      <c r="R48" s="36" t="str">
        <f aca="false">IF(OR(Q48="",L48=""),"",MIN(J48,Q48*MAX(0,CurYear-L48)))</f>
        <v/>
      </c>
      <c r="S48" s="36" t="str">
        <f aca="false">IF(R48="",IF(J48="","",J48),J48-R48)</f>
        <v/>
      </c>
      <c r="T48" s="32"/>
    </row>
    <row r="49" customFormat="false" ht="15" hidden="false" customHeight="false" outlineLevel="0" collapsed="false">
      <c r="A49" s="31" t="str">
        <f aca="false">IF(C49="","",ROW()-9)</f>
        <v/>
      </c>
      <c r="B49" s="31" t="str">
        <f aca="true">IF(OR(C49="",F49=""),"","HH-"&amp;INDEX(DeptCodes,MATCH(F49,Depts,0))&amp;"-"&amp;TEXT(COUNTIF(F$10:F49,F49),"000"))</f>
        <v/>
      </c>
      <c r="C49" s="32"/>
      <c r="D49" s="32"/>
      <c r="E49" s="33"/>
      <c r="F49" s="33"/>
      <c r="G49" s="34"/>
      <c r="H49" s="33"/>
      <c r="I49" s="35"/>
      <c r="J49" s="36" t="str">
        <f aca="false">IF(OR(G49="",I49=""),"",G49*I49)</f>
        <v/>
      </c>
      <c r="K49" s="33"/>
      <c r="L49" s="34"/>
      <c r="M49" s="33"/>
      <c r="N49" s="32"/>
      <c r="O49" s="33"/>
      <c r="P49" s="37" t="str">
        <f aca="true">IF(E49="","",IFERROR(INDEX(CatLife,MATCH(E49,Cats,0)),""))</f>
        <v/>
      </c>
      <c r="Q49" s="36" t="str">
        <f aca="false">IF(OR(J49="",P49="",P49=0),IF(J49="","",0),J49/P49)</f>
        <v/>
      </c>
      <c r="R49" s="36" t="str">
        <f aca="false">IF(OR(Q49="",L49=""),"",MIN(J49,Q49*MAX(0,CurYear-L49)))</f>
        <v/>
      </c>
      <c r="S49" s="36" t="str">
        <f aca="false">IF(R49="",IF(J49="","",J49),J49-R49)</f>
        <v/>
      </c>
      <c r="T49" s="32"/>
    </row>
    <row r="50" customFormat="false" ht="15" hidden="false" customHeight="false" outlineLevel="0" collapsed="false">
      <c r="A50" s="31" t="str">
        <f aca="false">IF(C50="","",ROW()-9)</f>
        <v/>
      </c>
      <c r="B50" s="31" t="str">
        <f aca="true">IF(OR(C50="",F50=""),"","HH-"&amp;INDEX(DeptCodes,MATCH(F50,Depts,0))&amp;"-"&amp;TEXT(COUNTIF(F$10:F50,F50),"000"))</f>
        <v/>
      </c>
      <c r="C50" s="32"/>
      <c r="D50" s="32"/>
      <c r="E50" s="33"/>
      <c r="F50" s="33"/>
      <c r="G50" s="34"/>
      <c r="H50" s="33"/>
      <c r="I50" s="35"/>
      <c r="J50" s="36" t="str">
        <f aca="false">IF(OR(G50="",I50=""),"",G50*I50)</f>
        <v/>
      </c>
      <c r="K50" s="33"/>
      <c r="L50" s="34"/>
      <c r="M50" s="33"/>
      <c r="N50" s="32"/>
      <c r="O50" s="33"/>
      <c r="P50" s="37" t="str">
        <f aca="true">IF(E50="","",IFERROR(INDEX(CatLife,MATCH(E50,Cats,0)),""))</f>
        <v/>
      </c>
      <c r="Q50" s="36" t="str">
        <f aca="false">IF(OR(J50="",P50="",P50=0),IF(J50="","",0),J50/P50)</f>
        <v/>
      </c>
      <c r="R50" s="36" t="str">
        <f aca="false">IF(OR(Q50="",L50=""),"",MIN(J50,Q50*MAX(0,CurYear-L50)))</f>
        <v/>
      </c>
      <c r="S50" s="36" t="str">
        <f aca="false">IF(R50="",IF(J50="","",J50),J50-R50)</f>
        <v/>
      </c>
      <c r="T50" s="32"/>
    </row>
    <row r="51" customFormat="false" ht="15" hidden="false" customHeight="false" outlineLevel="0" collapsed="false">
      <c r="A51" s="31" t="str">
        <f aca="false">IF(C51="","",ROW()-9)</f>
        <v/>
      </c>
      <c r="B51" s="31" t="str">
        <f aca="true">IF(OR(C51="",F51=""),"","HH-"&amp;INDEX(DeptCodes,MATCH(F51,Depts,0))&amp;"-"&amp;TEXT(COUNTIF(F$10:F51,F51),"000"))</f>
        <v/>
      </c>
      <c r="C51" s="32"/>
      <c r="D51" s="32"/>
      <c r="E51" s="33"/>
      <c r="F51" s="33"/>
      <c r="G51" s="34"/>
      <c r="H51" s="33"/>
      <c r="I51" s="35"/>
      <c r="J51" s="36" t="str">
        <f aca="false">IF(OR(G51="",I51=""),"",G51*I51)</f>
        <v/>
      </c>
      <c r="K51" s="33"/>
      <c r="L51" s="34"/>
      <c r="M51" s="33"/>
      <c r="N51" s="32"/>
      <c r="O51" s="33"/>
      <c r="P51" s="37" t="str">
        <f aca="true">IF(E51="","",IFERROR(INDEX(CatLife,MATCH(E51,Cats,0)),""))</f>
        <v/>
      </c>
      <c r="Q51" s="36" t="str">
        <f aca="false">IF(OR(J51="",P51="",P51=0),IF(J51="","",0),J51/P51)</f>
        <v/>
      </c>
      <c r="R51" s="36" t="str">
        <f aca="false">IF(OR(Q51="",L51=""),"",MIN(J51,Q51*MAX(0,CurYear-L51)))</f>
        <v/>
      </c>
      <c r="S51" s="36" t="str">
        <f aca="false">IF(R51="",IF(J51="","",J51),J51-R51)</f>
        <v/>
      </c>
      <c r="T51" s="32"/>
    </row>
    <row r="52" customFormat="false" ht="15" hidden="false" customHeight="false" outlineLevel="0" collapsed="false">
      <c r="A52" s="31" t="str">
        <f aca="false">IF(C52="","",ROW()-9)</f>
        <v/>
      </c>
      <c r="B52" s="31" t="str">
        <f aca="true">IF(OR(C52="",F52=""),"","HH-"&amp;INDEX(DeptCodes,MATCH(F52,Depts,0))&amp;"-"&amp;TEXT(COUNTIF(F$10:F52,F52),"000"))</f>
        <v/>
      </c>
      <c r="C52" s="32"/>
      <c r="D52" s="32"/>
      <c r="E52" s="33"/>
      <c r="F52" s="33"/>
      <c r="G52" s="34"/>
      <c r="H52" s="33"/>
      <c r="I52" s="35"/>
      <c r="J52" s="36" t="str">
        <f aca="false">IF(OR(G52="",I52=""),"",G52*I52)</f>
        <v/>
      </c>
      <c r="K52" s="33"/>
      <c r="L52" s="34"/>
      <c r="M52" s="33"/>
      <c r="N52" s="32"/>
      <c r="O52" s="33"/>
      <c r="P52" s="37" t="str">
        <f aca="true">IF(E52="","",IFERROR(INDEX(CatLife,MATCH(E52,Cats,0)),""))</f>
        <v/>
      </c>
      <c r="Q52" s="36" t="str">
        <f aca="false">IF(OR(J52="",P52="",P52=0),IF(J52="","",0),J52/P52)</f>
        <v/>
      </c>
      <c r="R52" s="36" t="str">
        <f aca="false">IF(OR(Q52="",L52=""),"",MIN(J52,Q52*MAX(0,CurYear-L52)))</f>
        <v/>
      </c>
      <c r="S52" s="36" t="str">
        <f aca="false">IF(R52="",IF(J52="","",J52),J52-R52)</f>
        <v/>
      </c>
      <c r="T52" s="32"/>
    </row>
    <row r="53" customFormat="false" ht="15" hidden="false" customHeight="false" outlineLevel="0" collapsed="false">
      <c r="A53" s="31" t="str">
        <f aca="false">IF(C53="","",ROW()-9)</f>
        <v/>
      </c>
      <c r="B53" s="31" t="str">
        <f aca="true">IF(OR(C53="",F53=""),"","HH-"&amp;INDEX(DeptCodes,MATCH(F53,Depts,0))&amp;"-"&amp;TEXT(COUNTIF(F$10:F53,F53),"000"))</f>
        <v/>
      </c>
      <c r="C53" s="32"/>
      <c r="D53" s="32"/>
      <c r="E53" s="33"/>
      <c r="F53" s="33"/>
      <c r="G53" s="34"/>
      <c r="H53" s="33"/>
      <c r="I53" s="35"/>
      <c r="J53" s="36" t="str">
        <f aca="false">IF(OR(G53="",I53=""),"",G53*I53)</f>
        <v/>
      </c>
      <c r="K53" s="33"/>
      <c r="L53" s="34"/>
      <c r="M53" s="33"/>
      <c r="N53" s="32"/>
      <c r="O53" s="33"/>
      <c r="P53" s="37" t="str">
        <f aca="true">IF(E53="","",IFERROR(INDEX(CatLife,MATCH(E53,Cats,0)),""))</f>
        <v/>
      </c>
      <c r="Q53" s="36" t="str">
        <f aca="false">IF(OR(J53="",P53="",P53=0),IF(J53="","",0),J53/P53)</f>
        <v/>
      </c>
      <c r="R53" s="36" t="str">
        <f aca="false">IF(OR(Q53="",L53=""),"",MIN(J53,Q53*MAX(0,CurYear-L53)))</f>
        <v/>
      </c>
      <c r="S53" s="36" t="str">
        <f aca="false">IF(R53="",IF(J53="","",J53),J53-R53)</f>
        <v/>
      </c>
      <c r="T53" s="32"/>
    </row>
    <row r="54" customFormat="false" ht="15" hidden="false" customHeight="false" outlineLevel="0" collapsed="false">
      <c r="A54" s="31" t="str">
        <f aca="false">IF(C54="","",ROW()-9)</f>
        <v/>
      </c>
      <c r="B54" s="31" t="str">
        <f aca="true">IF(OR(C54="",F54=""),"","HH-"&amp;INDEX(DeptCodes,MATCH(F54,Depts,0))&amp;"-"&amp;TEXT(COUNTIF(F$10:F54,F54),"000"))</f>
        <v/>
      </c>
      <c r="C54" s="32"/>
      <c r="D54" s="32"/>
      <c r="E54" s="33"/>
      <c r="F54" s="33"/>
      <c r="G54" s="34"/>
      <c r="H54" s="33"/>
      <c r="I54" s="35"/>
      <c r="J54" s="36" t="str">
        <f aca="false">IF(OR(G54="",I54=""),"",G54*I54)</f>
        <v/>
      </c>
      <c r="K54" s="33"/>
      <c r="L54" s="34"/>
      <c r="M54" s="33"/>
      <c r="N54" s="32"/>
      <c r="O54" s="33"/>
      <c r="P54" s="37" t="str">
        <f aca="true">IF(E54="","",IFERROR(INDEX(CatLife,MATCH(E54,Cats,0)),""))</f>
        <v/>
      </c>
      <c r="Q54" s="36" t="str">
        <f aca="false">IF(OR(J54="",P54="",P54=0),IF(J54="","",0),J54/P54)</f>
        <v/>
      </c>
      <c r="R54" s="36" t="str">
        <f aca="false">IF(OR(Q54="",L54=""),"",MIN(J54,Q54*MAX(0,CurYear-L54)))</f>
        <v/>
      </c>
      <c r="S54" s="36" t="str">
        <f aca="false">IF(R54="",IF(J54="","",J54),J54-R54)</f>
        <v/>
      </c>
      <c r="T54" s="32"/>
    </row>
    <row r="55" customFormat="false" ht="15" hidden="false" customHeight="false" outlineLevel="0" collapsed="false">
      <c r="A55" s="31" t="str">
        <f aca="false">IF(C55="","",ROW()-9)</f>
        <v/>
      </c>
      <c r="B55" s="31" t="str">
        <f aca="true">IF(OR(C55="",F55=""),"","HH-"&amp;INDEX(DeptCodes,MATCH(F55,Depts,0))&amp;"-"&amp;TEXT(COUNTIF(F$10:F55,F55),"000"))</f>
        <v/>
      </c>
      <c r="C55" s="32"/>
      <c r="D55" s="32"/>
      <c r="E55" s="33"/>
      <c r="F55" s="33"/>
      <c r="G55" s="34"/>
      <c r="H55" s="33"/>
      <c r="I55" s="35"/>
      <c r="J55" s="36" t="str">
        <f aca="false">IF(OR(G55="",I55=""),"",G55*I55)</f>
        <v/>
      </c>
      <c r="K55" s="33"/>
      <c r="L55" s="34"/>
      <c r="M55" s="33"/>
      <c r="N55" s="32"/>
      <c r="O55" s="33"/>
      <c r="P55" s="37" t="str">
        <f aca="true">IF(E55="","",IFERROR(INDEX(CatLife,MATCH(E55,Cats,0)),""))</f>
        <v/>
      </c>
      <c r="Q55" s="36" t="str">
        <f aca="false">IF(OR(J55="",P55="",P55=0),IF(J55="","",0),J55/P55)</f>
        <v/>
      </c>
      <c r="R55" s="36" t="str">
        <f aca="false">IF(OR(Q55="",L55=""),"",MIN(J55,Q55*MAX(0,CurYear-L55)))</f>
        <v/>
      </c>
      <c r="S55" s="36" t="str">
        <f aca="false">IF(R55="",IF(J55="","",J55),J55-R55)</f>
        <v/>
      </c>
      <c r="T55" s="32"/>
    </row>
    <row r="56" customFormat="false" ht="15" hidden="false" customHeight="false" outlineLevel="0" collapsed="false">
      <c r="A56" s="31" t="str">
        <f aca="false">IF(C56="","",ROW()-9)</f>
        <v/>
      </c>
      <c r="B56" s="31" t="str">
        <f aca="true">IF(OR(C56="",F56=""),"","HH-"&amp;INDEX(DeptCodes,MATCH(F56,Depts,0))&amp;"-"&amp;TEXT(COUNTIF(F$10:F56,F56),"000"))</f>
        <v/>
      </c>
      <c r="C56" s="32"/>
      <c r="D56" s="32"/>
      <c r="E56" s="33"/>
      <c r="F56" s="33"/>
      <c r="G56" s="34"/>
      <c r="H56" s="33"/>
      <c r="I56" s="35"/>
      <c r="J56" s="36" t="str">
        <f aca="false">IF(OR(G56="",I56=""),"",G56*I56)</f>
        <v/>
      </c>
      <c r="K56" s="33"/>
      <c r="L56" s="34"/>
      <c r="M56" s="33"/>
      <c r="N56" s="32"/>
      <c r="O56" s="33"/>
      <c r="P56" s="37" t="str">
        <f aca="true">IF(E56="","",IFERROR(INDEX(CatLife,MATCH(E56,Cats,0)),""))</f>
        <v/>
      </c>
      <c r="Q56" s="36" t="str">
        <f aca="false">IF(OR(J56="",P56="",P56=0),IF(J56="","",0),J56/P56)</f>
        <v/>
      </c>
      <c r="R56" s="36" t="str">
        <f aca="false">IF(OR(Q56="",L56=""),"",MIN(J56,Q56*MAX(0,CurYear-L56)))</f>
        <v/>
      </c>
      <c r="S56" s="36" t="str">
        <f aca="false">IF(R56="",IF(J56="","",J56),J56-R56)</f>
        <v/>
      </c>
      <c r="T56" s="32"/>
    </row>
    <row r="57" customFormat="false" ht="15" hidden="false" customHeight="false" outlineLevel="0" collapsed="false">
      <c r="A57" s="31" t="str">
        <f aca="false">IF(C57="","",ROW()-9)</f>
        <v/>
      </c>
      <c r="B57" s="31" t="str">
        <f aca="true">IF(OR(C57="",F57=""),"","HH-"&amp;INDEX(DeptCodes,MATCH(F57,Depts,0))&amp;"-"&amp;TEXT(COUNTIF(F$10:F57,F57),"000"))</f>
        <v/>
      </c>
      <c r="C57" s="32"/>
      <c r="D57" s="32"/>
      <c r="E57" s="33"/>
      <c r="F57" s="33"/>
      <c r="G57" s="34"/>
      <c r="H57" s="33"/>
      <c r="I57" s="35"/>
      <c r="J57" s="36" t="str">
        <f aca="false">IF(OR(G57="",I57=""),"",G57*I57)</f>
        <v/>
      </c>
      <c r="K57" s="33"/>
      <c r="L57" s="34"/>
      <c r="M57" s="33"/>
      <c r="N57" s="32"/>
      <c r="O57" s="33"/>
      <c r="P57" s="37" t="str">
        <f aca="true">IF(E57="","",IFERROR(INDEX(CatLife,MATCH(E57,Cats,0)),""))</f>
        <v/>
      </c>
      <c r="Q57" s="36" t="str">
        <f aca="false">IF(OR(J57="",P57="",P57=0),IF(J57="","",0),J57/P57)</f>
        <v/>
      </c>
      <c r="R57" s="36" t="str">
        <f aca="false">IF(OR(Q57="",L57=""),"",MIN(J57,Q57*MAX(0,CurYear-L57)))</f>
        <v/>
      </c>
      <c r="S57" s="36" t="str">
        <f aca="false">IF(R57="",IF(J57="","",J57),J57-R57)</f>
        <v/>
      </c>
      <c r="T57" s="32"/>
    </row>
    <row r="58" customFormat="false" ht="15" hidden="false" customHeight="false" outlineLevel="0" collapsed="false">
      <c r="A58" s="31" t="str">
        <f aca="false">IF(C58="","",ROW()-9)</f>
        <v/>
      </c>
      <c r="B58" s="31" t="str">
        <f aca="true">IF(OR(C58="",F58=""),"","HH-"&amp;INDEX(DeptCodes,MATCH(F58,Depts,0))&amp;"-"&amp;TEXT(COUNTIF(F$10:F58,F58),"000"))</f>
        <v/>
      </c>
      <c r="C58" s="32"/>
      <c r="D58" s="32"/>
      <c r="E58" s="33"/>
      <c r="F58" s="33"/>
      <c r="G58" s="34"/>
      <c r="H58" s="33"/>
      <c r="I58" s="35"/>
      <c r="J58" s="36" t="str">
        <f aca="false">IF(OR(G58="",I58=""),"",G58*I58)</f>
        <v/>
      </c>
      <c r="K58" s="33"/>
      <c r="L58" s="34"/>
      <c r="M58" s="33"/>
      <c r="N58" s="32"/>
      <c r="O58" s="33"/>
      <c r="P58" s="37" t="str">
        <f aca="true">IF(E58="","",IFERROR(INDEX(CatLife,MATCH(E58,Cats,0)),""))</f>
        <v/>
      </c>
      <c r="Q58" s="36" t="str">
        <f aca="false">IF(OR(J58="",P58="",P58=0),IF(J58="","",0),J58/P58)</f>
        <v/>
      </c>
      <c r="R58" s="36" t="str">
        <f aca="false">IF(OR(Q58="",L58=""),"",MIN(J58,Q58*MAX(0,CurYear-L58)))</f>
        <v/>
      </c>
      <c r="S58" s="36" t="str">
        <f aca="false">IF(R58="",IF(J58="","",J58),J58-R58)</f>
        <v/>
      </c>
      <c r="T58" s="32"/>
    </row>
    <row r="59" customFormat="false" ht="15" hidden="false" customHeight="false" outlineLevel="0" collapsed="false">
      <c r="A59" s="31" t="str">
        <f aca="false">IF(C59="","",ROW()-9)</f>
        <v/>
      </c>
      <c r="B59" s="31" t="str">
        <f aca="true">IF(OR(C59="",F59=""),"","HH-"&amp;INDEX(DeptCodes,MATCH(F59,Depts,0))&amp;"-"&amp;TEXT(COUNTIF(F$10:F59,F59),"000"))</f>
        <v/>
      </c>
      <c r="C59" s="32"/>
      <c r="D59" s="32"/>
      <c r="E59" s="33"/>
      <c r="F59" s="33"/>
      <c r="G59" s="34"/>
      <c r="H59" s="33"/>
      <c r="I59" s="35"/>
      <c r="J59" s="36" t="str">
        <f aca="false">IF(OR(G59="",I59=""),"",G59*I59)</f>
        <v/>
      </c>
      <c r="K59" s="33"/>
      <c r="L59" s="34"/>
      <c r="M59" s="33"/>
      <c r="N59" s="32"/>
      <c r="O59" s="33"/>
      <c r="P59" s="37" t="str">
        <f aca="true">IF(E59="","",IFERROR(INDEX(CatLife,MATCH(E59,Cats,0)),""))</f>
        <v/>
      </c>
      <c r="Q59" s="36" t="str">
        <f aca="false">IF(OR(J59="",P59="",P59=0),IF(J59="","",0),J59/P59)</f>
        <v/>
      </c>
      <c r="R59" s="36" t="str">
        <f aca="false">IF(OR(Q59="",L59=""),"",MIN(J59,Q59*MAX(0,CurYear-L59)))</f>
        <v/>
      </c>
      <c r="S59" s="36" t="str">
        <f aca="false">IF(R59="",IF(J59="","",J59),J59-R59)</f>
        <v/>
      </c>
      <c r="T59" s="32"/>
    </row>
    <row r="60" customFormat="false" ht="15" hidden="false" customHeight="false" outlineLevel="0" collapsed="false">
      <c r="A60" s="31" t="str">
        <f aca="false">IF(C60="","",ROW()-9)</f>
        <v/>
      </c>
      <c r="B60" s="31" t="str">
        <f aca="true">IF(OR(C60="",F60=""),"","HH-"&amp;INDEX(DeptCodes,MATCH(F60,Depts,0))&amp;"-"&amp;TEXT(COUNTIF(F$10:F60,F60),"000"))</f>
        <v/>
      </c>
      <c r="C60" s="32"/>
      <c r="D60" s="32"/>
      <c r="E60" s="33"/>
      <c r="F60" s="33"/>
      <c r="G60" s="34"/>
      <c r="H60" s="33"/>
      <c r="I60" s="35"/>
      <c r="J60" s="36" t="str">
        <f aca="false">IF(OR(G60="",I60=""),"",G60*I60)</f>
        <v/>
      </c>
      <c r="K60" s="33"/>
      <c r="L60" s="34"/>
      <c r="M60" s="33"/>
      <c r="N60" s="32"/>
      <c r="O60" s="33"/>
      <c r="P60" s="37" t="str">
        <f aca="true">IF(E60="","",IFERROR(INDEX(CatLife,MATCH(E60,Cats,0)),""))</f>
        <v/>
      </c>
      <c r="Q60" s="36" t="str">
        <f aca="false">IF(OR(J60="",P60="",P60=0),IF(J60="","",0),J60/P60)</f>
        <v/>
      </c>
      <c r="R60" s="36" t="str">
        <f aca="false">IF(OR(Q60="",L60=""),"",MIN(J60,Q60*MAX(0,CurYear-L60)))</f>
        <v/>
      </c>
      <c r="S60" s="36" t="str">
        <f aca="false">IF(R60="",IF(J60="","",J60),J60-R60)</f>
        <v/>
      </c>
      <c r="T60" s="32"/>
    </row>
    <row r="61" customFormat="false" ht="15" hidden="false" customHeight="false" outlineLevel="0" collapsed="false">
      <c r="A61" s="31" t="str">
        <f aca="false">IF(C61="","",ROW()-9)</f>
        <v/>
      </c>
      <c r="B61" s="31" t="str">
        <f aca="true">IF(OR(C61="",F61=""),"","HH-"&amp;INDEX(DeptCodes,MATCH(F61,Depts,0))&amp;"-"&amp;TEXT(COUNTIF(F$10:F61,F61),"000"))</f>
        <v/>
      </c>
      <c r="C61" s="32"/>
      <c r="D61" s="32"/>
      <c r="E61" s="33"/>
      <c r="F61" s="33"/>
      <c r="G61" s="34"/>
      <c r="H61" s="33"/>
      <c r="I61" s="35"/>
      <c r="J61" s="36" t="str">
        <f aca="false">IF(OR(G61="",I61=""),"",G61*I61)</f>
        <v/>
      </c>
      <c r="K61" s="33"/>
      <c r="L61" s="34"/>
      <c r="M61" s="33"/>
      <c r="N61" s="32"/>
      <c r="O61" s="33"/>
      <c r="P61" s="37" t="str">
        <f aca="true">IF(E61="","",IFERROR(INDEX(CatLife,MATCH(E61,Cats,0)),""))</f>
        <v/>
      </c>
      <c r="Q61" s="36" t="str">
        <f aca="false">IF(OR(J61="",P61="",P61=0),IF(J61="","",0),J61/P61)</f>
        <v/>
      </c>
      <c r="R61" s="36" t="str">
        <f aca="false">IF(OR(Q61="",L61=""),"",MIN(J61,Q61*MAX(0,CurYear-L61)))</f>
        <v/>
      </c>
      <c r="S61" s="36" t="str">
        <f aca="false">IF(R61="",IF(J61="","",J61),J61-R61)</f>
        <v/>
      </c>
      <c r="T61" s="32"/>
    </row>
    <row r="62" customFormat="false" ht="15" hidden="false" customHeight="false" outlineLevel="0" collapsed="false">
      <c r="A62" s="31" t="str">
        <f aca="false">IF(C62="","",ROW()-9)</f>
        <v/>
      </c>
      <c r="B62" s="31" t="str">
        <f aca="true">IF(OR(C62="",F62=""),"","HH-"&amp;INDEX(DeptCodes,MATCH(F62,Depts,0))&amp;"-"&amp;TEXT(COUNTIF(F$10:F62,F62),"000"))</f>
        <v/>
      </c>
      <c r="C62" s="32"/>
      <c r="D62" s="32"/>
      <c r="E62" s="33"/>
      <c r="F62" s="33"/>
      <c r="G62" s="34"/>
      <c r="H62" s="33"/>
      <c r="I62" s="35"/>
      <c r="J62" s="36" t="str">
        <f aca="false">IF(OR(G62="",I62=""),"",G62*I62)</f>
        <v/>
      </c>
      <c r="K62" s="33"/>
      <c r="L62" s="34"/>
      <c r="M62" s="33"/>
      <c r="N62" s="32"/>
      <c r="O62" s="33"/>
      <c r="P62" s="37" t="str">
        <f aca="true">IF(E62="","",IFERROR(INDEX(CatLife,MATCH(E62,Cats,0)),""))</f>
        <v/>
      </c>
      <c r="Q62" s="36" t="str">
        <f aca="false">IF(OR(J62="",P62="",P62=0),IF(J62="","",0),J62/P62)</f>
        <v/>
      </c>
      <c r="R62" s="36" t="str">
        <f aca="false">IF(OR(Q62="",L62=""),"",MIN(J62,Q62*MAX(0,CurYear-L62)))</f>
        <v/>
      </c>
      <c r="S62" s="36" t="str">
        <f aca="false">IF(R62="",IF(J62="","",J62),J62-R62)</f>
        <v/>
      </c>
      <c r="T62" s="32"/>
    </row>
    <row r="63" customFormat="false" ht="15" hidden="false" customHeight="false" outlineLevel="0" collapsed="false">
      <c r="A63" s="31" t="str">
        <f aca="false">IF(C63="","",ROW()-9)</f>
        <v/>
      </c>
      <c r="B63" s="31" t="str">
        <f aca="true">IF(OR(C63="",F63=""),"","HH-"&amp;INDEX(DeptCodes,MATCH(F63,Depts,0))&amp;"-"&amp;TEXT(COUNTIF(F$10:F63,F63),"000"))</f>
        <v/>
      </c>
      <c r="C63" s="32"/>
      <c r="D63" s="32"/>
      <c r="E63" s="33"/>
      <c r="F63" s="33"/>
      <c r="G63" s="34"/>
      <c r="H63" s="33"/>
      <c r="I63" s="35"/>
      <c r="J63" s="36" t="str">
        <f aca="false">IF(OR(G63="",I63=""),"",G63*I63)</f>
        <v/>
      </c>
      <c r="K63" s="33"/>
      <c r="L63" s="34"/>
      <c r="M63" s="33"/>
      <c r="N63" s="32"/>
      <c r="O63" s="33"/>
      <c r="P63" s="37" t="str">
        <f aca="true">IF(E63="","",IFERROR(INDEX(CatLife,MATCH(E63,Cats,0)),""))</f>
        <v/>
      </c>
      <c r="Q63" s="36" t="str">
        <f aca="false">IF(OR(J63="",P63="",P63=0),IF(J63="","",0),J63/P63)</f>
        <v/>
      </c>
      <c r="R63" s="36" t="str">
        <f aca="false">IF(OR(Q63="",L63=""),"",MIN(J63,Q63*MAX(0,CurYear-L63)))</f>
        <v/>
      </c>
      <c r="S63" s="36" t="str">
        <f aca="false">IF(R63="",IF(J63="","",J63),J63-R63)</f>
        <v/>
      </c>
      <c r="T63" s="32"/>
    </row>
    <row r="64" customFormat="false" ht="15" hidden="false" customHeight="false" outlineLevel="0" collapsed="false">
      <c r="A64" s="31" t="str">
        <f aca="false">IF(C64="","",ROW()-9)</f>
        <v/>
      </c>
      <c r="B64" s="31" t="str">
        <f aca="true">IF(OR(C64="",F64=""),"","HH-"&amp;INDEX(DeptCodes,MATCH(F64,Depts,0))&amp;"-"&amp;TEXT(COUNTIF(F$10:F64,F64),"000"))</f>
        <v/>
      </c>
      <c r="C64" s="32"/>
      <c r="D64" s="32"/>
      <c r="E64" s="33"/>
      <c r="F64" s="33"/>
      <c r="G64" s="34"/>
      <c r="H64" s="33"/>
      <c r="I64" s="35"/>
      <c r="J64" s="36" t="str">
        <f aca="false">IF(OR(G64="",I64=""),"",G64*I64)</f>
        <v/>
      </c>
      <c r="K64" s="33"/>
      <c r="L64" s="34"/>
      <c r="M64" s="33"/>
      <c r="N64" s="32"/>
      <c r="O64" s="33"/>
      <c r="P64" s="37" t="str">
        <f aca="true">IF(E64="","",IFERROR(INDEX(CatLife,MATCH(E64,Cats,0)),""))</f>
        <v/>
      </c>
      <c r="Q64" s="36" t="str">
        <f aca="false">IF(OR(J64="",P64="",P64=0),IF(J64="","",0),J64/P64)</f>
        <v/>
      </c>
      <c r="R64" s="36" t="str">
        <f aca="false">IF(OR(Q64="",L64=""),"",MIN(J64,Q64*MAX(0,CurYear-L64)))</f>
        <v/>
      </c>
      <c r="S64" s="36" t="str">
        <f aca="false">IF(R64="",IF(J64="","",J64),J64-R64)</f>
        <v/>
      </c>
      <c r="T64" s="32"/>
    </row>
    <row r="65" customFormat="false" ht="15" hidden="false" customHeight="false" outlineLevel="0" collapsed="false">
      <c r="A65" s="31" t="str">
        <f aca="false">IF(C65="","",ROW()-9)</f>
        <v/>
      </c>
      <c r="B65" s="31" t="str">
        <f aca="true">IF(OR(C65="",F65=""),"","HH-"&amp;INDEX(DeptCodes,MATCH(F65,Depts,0))&amp;"-"&amp;TEXT(COUNTIF(F$10:F65,F65),"000"))</f>
        <v/>
      </c>
      <c r="C65" s="32"/>
      <c r="D65" s="32"/>
      <c r="E65" s="33"/>
      <c r="F65" s="33"/>
      <c r="G65" s="34"/>
      <c r="H65" s="33"/>
      <c r="I65" s="35"/>
      <c r="J65" s="36" t="str">
        <f aca="false">IF(OR(G65="",I65=""),"",G65*I65)</f>
        <v/>
      </c>
      <c r="K65" s="33"/>
      <c r="L65" s="34"/>
      <c r="M65" s="33"/>
      <c r="N65" s="32"/>
      <c r="O65" s="33"/>
      <c r="P65" s="37" t="str">
        <f aca="true">IF(E65="","",IFERROR(INDEX(CatLife,MATCH(E65,Cats,0)),""))</f>
        <v/>
      </c>
      <c r="Q65" s="36" t="str">
        <f aca="false">IF(OR(J65="",P65="",P65=0),IF(J65="","",0),J65/P65)</f>
        <v/>
      </c>
      <c r="R65" s="36" t="str">
        <f aca="false">IF(OR(Q65="",L65=""),"",MIN(J65,Q65*MAX(0,CurYear-L65)))</f>
        <v/>
      </c>
      <c r="S65" s="36" t="str">
        <f aca="false">IF(R65="",IF(J65="","",J65),J65-R65)</f>
        <v/>
      </c>
      <c r="T65" s="32"/>
    </row>
    <row r="66" customFormat="false" ht="15" hidden="false" customHeight="false" outlineLevel="0" collapsed="false">
      <c r="A66" s="31" t="str">
        <f aca="false">IF(C66="","",ROW()-9)</f>
        <v/>
      </c>
      <c r="B66" s="31" t="str">
        <f aca="true">IF(OR(C66="",F66=""),"","HH-"&amp;INDEX(DeptCodes,MATCH(F66,Depts,0))&amp;"-"&amp;TEXT(COUNTIF(F$10:F66,F66),"000"))</f>
        <v/>
      </c>
      <c r="C66" s="32"/>
      <c r="D66" s="32"/>
      <c r="E66" s="33"/>
      <c r="F66" s="33"/>
      <c r="G66" s="34"/>
      <c r="H66" s="33"/>
      <c r="I66" s="35"/>
      <c r="J66" s="36" t="str">
        <f aca="false">IF(OR(G66="",I66=""),"",G66*I66)</f>
        <v/>
      </c>
      <c r="K66" s="33"/>
      <c r="L66" s="34"/>
      <c r="M66" s="33"/>
      <c r="N66" s="32"/>
      <c r="O66" s="33"/>
      <c r="P66" s="37" t="str">
        <f aca="true">IF(E66="","",IFERROR(INDEX(CatLife,MATCH(E66,Cats,0)),""))</f>
        <v/>
      </c>
      <c r="Q66" s="36" t="str">
        <f aca="false">IF(OR(J66="",P66="",P66=0),IF(J66="","",0),J66/P66)</f>
        <v/>
      </c>
      <c r="R66" s="36" t="str">
        <f aca="false">IF(OR(Q66="",L66=""),"",MIN(J66,Q66*MAX(0,CurYear-L66)))</f>
        <v/>
      </c>
      <c r="S66" s="36" t="str">
        <f aca="false">IF(R66="",IF(J66="","",J66),J66-R66)</f>
        <v/>
      </c>
      <c r="T66" s="32"/>
    </row>
    <row r="67" customFormat="false" ht="15" hidden="false" customHeight="false" outlineLevel="0" collapsed="false">
      <c r="A67" s="31" t="str">
        <f aca="false">IF(C67="","",ROW()-9)</f>
        <v/>
      </c>
      <c r="B67" s="31" t="str">
        <f aca="true">IF(OR(C67="",F67=""),"","HH-"&amp;INDEX(DeptCodes,MATCH(F67,Depts,0))&amp;"-"&amp;TEXT(COUNTIF(F$10:F67,F67),"000"))</f>
        <v/>
      </c>
      <c r="C67" s="32"/>
      <c r="D67" s="32"/>
      <c r="E67" s="33"/>
      <c r="F67" s="33"/>
      <c r="G67" s="34"/>
      <c r="H67" s="33"/>
      <c r="I67" s="35"/>
      <c r="J67" s="36" t="str">
        <f aca="false">IF(OR(G67="",I67=""),"",G67*I67)</f>
        <v/>
      </c>
      <c r="K67" s="33"/>
      <c r="L67" s="34"/>
      <c r="M67" s="33"/>
      <c r="N67" s="32"/>
      <c r="O67" s="33"/>
      <c r="P67" s="37" t="str">
        <f aca="true">IF(E67="","",IFERROR(INDEX(CatLife,MATCH(E67,Cats,0)),""))</f>
        <v/>
      </c>
      <c r="Q67" s="36" t="str">
        <f aca="false">IF(OR(J67="",P67="",P67=0),IF(J67="","",0),J67/P67)</f>
        <v/>
      </c>
      <c r="R67" s="36" t="str">
        <f aca="false">IF(OR(Q67="",L67=""),"",MIN(J67,Q67*MAX(0,CurYear-L67)))</f>
        <v/>
      </c>
      <c r="S67" s="36" t="str">
        <f aca="false">IF(R67="",IF(J67="","",J67),J67-R67)</f>
        <v/>
      </c>
      <c r="T67" s="32"/>
    </row>
    <row r="68" customFormat="false" ht="15" hidden="false" customHeight="false" outlineLevel="0" collapsed="false">
      <c r="A68" s="31" t="str">
        <f aca="false">IF(C68="","",ROW()-9)</f>
        <v/>
      </c>
      <c r="B68" s="31" t="str">
        <f aca="true">IF(OR(C68="",F68=""),"","HH-"&amp;INDEX(DeptCodes,MATCH(F68,Depts,0))&amp;"-"&amp;TEXT(COUNTIF(F$10:F68,F68),"000"))</f>
        <v/>
      </c>
      <c r="C68" s="32"/>
      <c r="D68" s="32"/>
      <c r="E68" s="33"/>
      <c r="F68" s="33"/>
      <c r="G68" s="34"/>
      <c r="H68" s="33"/>
      <c r="I68" s="35"/>
      <c r="J68" s="36" t="str">
        <f aca="false">IF(OR(G68="",I68=""),"",G68*I68)</f>
        <v/>
      </c>
      <c r="K68" s="33"/>
      <c r="L68" s="34"/>
      <c r="M68" s="33"/>
      <c r="N68" s="32"/>
      <c r="O68" s="33"/>
      <c r="P68" s="37" t="str">
        <f aca="true">IF(E68="","",IFERROR(INDEX(CatLife,MATCH(E68,Cats,0)),""))</f>
        <v/>
      </c>
      <c r="Q68" s="36" t="str">
        <f aca="false">IF(OR(J68="",P68="",P68=0),IF(J68="","",0),J68/P68)</f>
        <v/>
      </c>
      <c r="R68" s="36" t="str">
        <f aca="false">IF(OR(Q68="",L68=""),"",MIN(J68,Q68*MAX(0,CurYear-L68)))</f>
        <v/>
      </c>
      <c r="S68" s="36" t="str">
        <f aca="false">IF(R68="",IF(J68="","",J68),J68-R68)</f>
        <v/>
      </c>
      <c r="T68" s="32"/>
    </row>
    <row r="69" customFormat="false" ht="15" hidden="false" customHeight="false" outlineLevel="0" collapsed="false">
      <c r="A69" s="31" t="str">
        <f aca="false">IF(C69="","",ROW()-9)</f>
        <v/>
      </c>
      <c r="B69" s="31" t="str">
        <f aca="true">IF(OR(C69="",F69=""),"","HH-"&amp;INDEX(DeptCodes,MATCH(F69,Depts,0))&amp;"-"&amp;TEXT(COUNTIF(F$10:F69,F69),"000"))</f>
        <v/>
      </c>
      <c r="C69" s="32"/>
      <c r="D69" s="32"/>
      <c r="E69" s="33"/>
      <c r="F69" s="33"/>
      <c r="G69" s="34"/>
      <c r="H69" s="33"/>
      <c r="I69" s="35"/>
      <c r="J69" s="36" t="str">
        <f aca="false">IF(OR(G69="",I69=""),"",G69*I69)</f>
        <v/>
      </c>
      <c r="K69" s="33"/>
      <c r="L69" s="34"/>
      <c r="M69" s="33"/>
      <c r="N69" s="32"/>
      <c r="O69" s="33"/>
      <c r="P69" s="37" t="str">
        <f aca="true">IF(E69="","",IFERROR(INDEX(CatLife,MATCH(E69,Cats,0)),""))</f>
        <v/>
      </c>
      <c r="Q69" s="36" t="str">
        <f aca="false">IF(OR(J69="",P69="",P69=0),IF(J69="","",0),J69/P69)</f>
        <v/>
      </c>
      <c r="R69" s="36" t="str">
        <f aca="false">IF(OR(Q69="",L69=""),"",MIN(J69,Q69*MAX(0,CurYear-L69)))</f>
        <v/>
      </c>
      <c r="S69" s="36" t="str">
        <f aca="false">IF(R69="",IF(J69="","",J69),J69-R69)</f>
        <v/>
      </c>
      <c r="T69" s="32"/>
    </row>
    <row r="70" customFormat="false" ht="15" hidden="false" customHeight="false" outlineLevel="0" collapsed="false">
      <c r="A70" s="31" t="str">
        <f aca="false">IF(C70="","",ROW()-9)</f>
        <v/>
      </c>
      <c r="B70" s="31" t="str">
        <f aca="true">IF(OR(C70="",F70=""),"","HH-"&amp;INDEX(DeptCodes,MATCH(F70,Depts,0))&amp;"-"&amp;TEXT(COUNTIF(F$10:F70,F70),"000"))</f>
        <v/>
      </c>
      <c r="C70" s="32"/>
      <c r="D70" s="32"/>
      <c r="E70" s="33"/>
      <c r="F70" s="33"/>
      <c r="G70" s="34"/>
      <c r="H70" s="33"/>
      <c r="I70" s="35"/>
      <c r="J70" s="36" t="str">
        <f aca="false">IF(OR(G70="",I70=""),"",G70*I70)</f>
        <v/>
      </c>
      <c r="K70" s="33"/>
      <c r="L70" s="34"/>
      <c r="M70" s="33"/>
      <c r="N70" s="32"/>
      <c r="O70" s="33"/>
      <c r="P70" s="37" t="str">
        <f aca="true">IF(E70="","",IFERROR(INDEX(CatLife,MATCH(E70,Cats,0)),""))</f>
        <v/>
      </c>
      <c r="Q70" s="36" t="str">
        <f aca="false">IF(OR(J70="",P70="",P70=0),IF(J70="","",0),J70/P70)</f>
        <v/>
      </c>
      <c r="R70" s="36" t="str">
        <f aca="false">IF(OR(Q70="",L70=""),"",MIN(J70,Q70*MAX(0,CurYear-L70)))</f>
        <v/>
      </c>
      <c r="S70" s="36" t="str">
        <f aca="false">IF(R70="",IF(J70="","",J70),J70-R70)</f>
        <v/>
      </c>
      <c r="T70" s="32"/>
    </row>
    <row r="71" customFormat="false" ht="15" hidden="false" customHeight="false" outlineLevel="0" collapsed="false">
      <c r="A71" s="31" t="str">
        <f aca="false">IF(C71="","",ROW()-9)</f>
        <v/>
      </c>
      <c r="B71" s="31" t="str">
        <f aca="true">IF(OR(C71="",F71=""),"","HH-"&amp;INDEX(DeptCodes,MATCH(F71,Depts,0))&amp;"-"&amp;TEXT(COUNTIF(F$10:F71,F71),"000"))</f>
        <v/>
      </c>
      <c r="C71" s="32"/>
      <c r="D71" s="32"/>
      <c r="E71" s="33"/>
      <c r="F71" s="33"/>
      <c r="G71" s="34"/>
      <c r="H71" s="33"/>
      <c r="I71" s="35"/>
      <c r="J71" s="36" t="str">
        <f aca="false">IF(OR(G71="",I71=""),"",G71*I71)</f>
        <v/>
      </c>
      <c r="K71" s="33"/>
      <c r="L71" s="34"/>
      <c r="M71" s="33"/>
      <c r="N71" s="32"/>
      <c r="O71" s="33"/>
      <c r="P71" s="37" t="str">
        <f aca="true">IF(E71="","",IFERROR(INDEX(CatLife,MATCH(E71,Cats,0)),""))</f>
        <v/>
      </c>
      <c r="Q71" s="36" t="str">
        <f aca="false">IF(OR(J71="",P71="",P71=0),IF(J71="","",0),J71/P71)</f>
        <v/>
      </c>
      <c r="R71" s="36" t="str">
        <f aca="false">IF(OR(Q71="",L71=""),"",MIN(J71,Q71*MAX(0,CurYear-L71)))</f>
        <v/>
      </c>
      <c r="S71" s="36" t="str">
        <f aca="false">IF(R71="",IF(J71="","",J71),J71-R71)</f>
        <v/>
      </c>
      <c r="T71" s="32"/>
    </row>
    <row r="72" customFormat="false" ht="15" hidden="false" customHeight="false" outlineLevel="0" collapsed="false">
      <c r="A72" s="31" t="str">
        <f aca="false">IF(C72="","",ROW()-9)</f>
        <v/>
      </c>
      <c r="B72" s="31" t="str">
        <f aca="true">IF(OR(C72="",F72=""),"","HH-"&amp;INDEX(DeptCodes,MATCH(F72,Depts,0))&amp;"-"&amp;TEXT(COUNTIF(F$10:F72,F72),"000"))</f>
        <v/>
      </c>
      <c r="C72" s="32"/>
      <c r="D72" s="32"/>
      <c r="E72" s="33"/>
      <c r="F72" s="33"/>
      <c r="G72" s="34"/>
      <c r="H72" s="33"/>
      <c r="I72" s="35"/>
      <c r="J72" s="36" t="str">
        <f aca="false">IF(OR(G72="",I72=""),"",G72*I72)</f>
        <v/>
      </c>
      <c r="K72" s="33"/>
      <c r="L72" s="34"/>
      <c r="M72" s="33"/>
      <c r="N72" s="32"/>
      <c r="O72" s="33"/>
      <c r="P72" s="37" t="str">
        <f aca="true">IF(E72="","",IFERROR(INDEX(CatLife,MATCH(E72,Cats,0)),""))</f>
        <v/>
      </c>
      <c r="Q72" s="36" t="str">
        <f aca="false">IF(OR(J72="",P72="",P72=0),IF(J72="","",0),J72/P72)</f>
        <v/>
      </c>
      <c r="R72" s="36" t="str">
        <f aca="false">IF(OR(Q72="",L72=""),"",MIN(J72,Q72*MAX(0,CurYear-L72)))</f>
        <v/>
      </c>
      <c r="S72" s="36" t="str">
        <f aca="false">IF(R72="",IF(J72="","",J72),J72-R72)</f>
        <v/>
      </c>
      <c r="T72" s="32"/>
    </row>
    <row r="73" customFormat="false" ht="15" hidden="false" customHeight="false" outlineLevel="0" collapsed="false">
      <c r="A73" s="31" t="str">
        <f aca="false">IF(C73="","",ROW()-9)</f>
        <v/>
      </c>
      <c r="B73" s="31" t="str">
        <f aca="true">IF(OR(C73="",F73=""),"","HH-"&amp;INDEX(DeptCodes,MATCH(F73,Depts,0))&amp;"-"&amp;TEXT(COUNTIF(F$10:F73,F73),"000"))</f>
        <v/>
      </c>
      <c r="C73" s="32"/>
      <c r="D73" s="32"/>
      <c r="E73" s="33"/>
      <c r="F73" s="33"/>
      <c r="G73" s="34"/>
      <c r="H73" s="33"/>
      <c r="I73" s="35"/>
      <c r="J73" s="36" t="str">
        <f aca="false">IF(OR(G73="",I73=""),"",G73*I73)</f>
        <v/>
      </c>
      <c r="K73" s="33"/>
      <c r="L73" s="34"/>
      <c r="M73" s="33"/>
      <c r="N73" s="32"/>
      <c r="O73" s="33"/>
      <c r="P73" s="37" t="str">
        <f aca="true">IF(E73="","",IFERROR(INDEX(CatLife,MATCH(E73,Cats,0)),""))</f>
        <v/>
      </c>
      <c r="Q73" s="36" t="str">
        <f aca="false">IF(OR(J73="",P73="",P73=0),IF(J73="","",0),J73/P73)</f>
        <v/>
      </c>
      <c r="R73" s="36" t="str">
        <f aca="false">IF(OR(Q73="",L73=""),"",MIN(J73,Q73*MAX(0,CurYear-L73)))</f>
        <v/>
      </c>
      <c r="S73" s="36" t="str">
        <f aca="false">IF(R73="",IF(J73="","",J73),J73-R73)</f>
        <v/>
      </c>
      <c r="T73" s="32"/>
    </row>
    <row r="74" customFormat="false" ht="15" hidden="false" customHeight="false" outlineLevel="0" collapsed="false">
      <c r="A74" s="31" t="str">
        <f aca="false">IF(C74="","",ROW()-9)</f>
        <v/>
      </c>
      <c r="B74" s="31" t="str">
        <f aca="true">IF(OR(C74="",F74=""),"","HH-"&amp;INDEX(DeptCodes,MATCH(F74,Depts,0))&amp;"-"&amp;TEXT(COUNTIF(F$10:F74,F74),"000"))</f>
        <v/>
      </c>
      <c r="C74" s="32"/>
      <c r="D74" s="32"/>
      <c r="E74" s="33"/>
      <c r="F74" s="33"/>
      <c r="G74" s="34"/>
      <c r="H74" s="33"/>
      <c r="I74" s="35"/>
      <c r="J74" s="36" t="str">
        <f aca="false">IF(OR(G74="",I74=""),"",G74*I74)</f>
        <v/>
      </c>
      <c r="K74" s="33"/>
      <c r="L74" s="34"/>
      <c r="M74" s="33"/>
      <c r="N74" s="32"/>
      <c r="O74" s="33"/>
      <c r="P74" s="37" t="str">
        <f aca="true">IF(E74="","",IFERROR(INDEX(CatLife,MATCH(E74,Cats,0)),""))</f>
        <v/>
      </c>
      <c r="Q74" s="36" t="str">
        <f aca="false">IF(OR(J74="",P74="",P74=0),IF(J74="","",0),J74/P74)</f>
        <v/>
      </c>
      <c r="R74" s="36" t="str">
        <f aca="false">IF(OR(Q74="",L74=""),"",MIN(J74,Q74*MAX(0,CurYear-L74)))</f>
        <v/>
      </c>
      <c r="S74" s="36" t="str">
        <f aca="false">IF(R74="",IF(J74="","",J74),J74-R74)</f>
        <v/>
      </c>
      <c r="T74" s="32"/>
    </row>
    <row r="75" customFormat="false" ht="15" hidden="false" customHeight="false" outlineLevel="0" collapsed="false">
      <c r="A75" s="31" t="str">
        <f aca="false">IF(C75="","",ROW()-9)</f>
        <v/>
      </c>
      <c r="B75" s="31" t="str">
        <f aca="true">IF(OR(C75="",F75=""),"","HH-"&amp;INDEX(DeptCodes,MATCH(F75,Depts,0))&amp;"-"&amp;TEXT(COUNTIF(F$10:F75,F75),"000"))</f>
        <v/>
      </c>
      <c r="C75" s="32"/>
      <c r="D75" s="32"/>
      <c r="E75" s="33"/>
      <c r="F75" s="33"/>
      <c r="G75" s="34"/>
      <c r="H75" s="33"/>
      <c r="I75" s="35"/>
      <c r="J75" s="36" t="str">
        <f aca="false">IF(OR(G75="",I75=""),"",G75*I75)</f>
        <v/>
      </c>
      <c r="K75" s="33"/>
      <c r="L75" s="34"/>
      <c r="M75" s="33"/>
      <c r="N75" s="32"/>
      <c r="O75" s="33"/>
      <c r="P75" s="37" t="str">
        <f aca="true">IF(E75="","",IFERROR(INDEX(CatLife,MATCH(E75,Cats,0)),""))</f>
        <v/>
      </c>
      <c r="Q75" s="36" t="str">
        <f aca="false">IF(OR(J75="",P75="",P75=0),IF(J75="","",0),J75/P75)</f>
        <v/>
      </c>
      <c r="R75" s="36" t="str">
        <f aca="false">IF(OR(Q75="",L75=""),"",MIN(J75,Q75*MAX(0,CurYear-L75)))</f>
        <v/>
      </c>
      <c r="S75" s="36" t="str">
        <f aca="false">IF(R75="",IF(J75="","",J75),J75-R75)</f>
        <v/>
      </c>
      <c r="T75" s="32"/>
    </row>
    <row r="76" customFormat="false" ht="15" hidden="false" customHeight="false" outlineLevel="0" collapsed="false">
      <c r="A76" s="31" t="str">
        <f aca="false">IF(C76="","",ROW()-9)</f>
        <v/>
      </c>
      <c r="B76" s="31" t="str">
        <f aca="true">IF(OR(C76="",F76=""),"","HH-"&amp;INDEX(DeptCodes,MATCH(F76,Depts,0))&amp;"-"&amp;TEXT(COUNTIF(F$10:F76,F76),"000"))</f>
        <v/>
      </c>
      <c r="C76" s="32"/>
      <c r="D76" s="32"/>
      <c r="E76" s="33"/>
      <c r="F76" s="33"/>
      <c r="G76" s="34"/>
      <c r="H76" s="33"/>
      <c r="I76" s="35"/>
      <c r="J76" s="36" t="str">
        <f aca="false">IF(OR(G76="",I76=""),"",G76*I76)</f>
        <v/>
      </c>
      <c r="K76" s="33"/>
      <c r="L76" s="34"/>
      <c r="M76" s="33"/>
      <c r="N76" s="32"/>
      <c r="O76" s="33"/>
      <c r="P76" s="37" t="str">
        <f aca="true">IF(E76="","",IFERROR(INDEX(CatLife,MATCH(E76,Cats,0)),""))</f>
        <v/>
      </c>
      <c r="Q76" s="36" t="str">
        <f aca="false">IF(OR(J76="",P76="",P76=0),IF(J76="","",0),J76/P76)</f>
        <v/>
      </c>
      <c r="R76" s="36" t="str">
        <f aca="false">IF(OR(Q76="",L76=""),"",MIN(J76,Q76*MAX(0,CurYear-L76)))</f>
        <v/>
      </c>
      <c r="S76" s="36" t="str">
        <f aca="false">IF(R76="",IF(J76="","",J76),J76-R76)</f>
        <v/>
      </c>
      <c r="T76" s="32"/>
    </row>
    <row r="77" customFormat="false" ht="15" hidden="false" customHeight="false" outlineLevel="0" collapsed="false">
      <c r="A77" s="31" t="str">
        <f aca="false">IF(C77="","",ROW()-9)</f>
        <v/>
      </c>
      <c r="B77" s="31" t="str">
        <f aca="true">IF(OR(C77="",F77=""),"","HH-"&amp;INDEX(DeptCodes,MATCH(F77,Depts,0))&amp;"-"&amp;TEXT(COUNTIF(F$10:F77,F77),"000"))</f>
        <v/>
      </c>
      <c r="C77" s="32"/>
      <c r="D77" s="32"/>
      <c r="E77" s="33"/>
      <c r="F77" s="33"/>
      <c r="G77" s="34"/>
      <c r="H77" s="33"/>
      <c r="I77" s="35"/>
      <c r="J77" s="36" t="str">
        <f aca="false">IF(OR(G77="",I77=""),"",G77*I77)</f>
        <v/>
      </c>
      <c r="K77" s="33"/>
      <c r="L77" s="34"/>
      <c r="M77" s="33"/>
      <c r="N77" s="32"/>
      <c r="O77" s="33"/>
      <c r="P77" s="37" t="str">
        <f aca="true">IF(E77="","",IFERROR(INDEX(CatLife,MATCH(E77,Cats,0)),""))</f>
        <v/>
      </c>
      <c r="Q77" s="36" t="str">
        <f aca="false">IF(OR(J77="",P77="",P77=0),IF(J77="","",0),J77/P77)</f>
        <v/>
      </c>
      <c r="R77" s="36" t="str">
        <f aca="false">IF(OR(Q77="",L77=""),"",MIN(J77,Q77*MAX(0,CurYear-L77)))</f>
        <v/>
      </c>
      <c r="S77" s="36" t="str">
        <f aca="false">IF(R77="",IF(J77="","",J77),J77-R77)</f>
        <v/>
      </c>
      <c r="T77" s="32"/>
    </row>
    <row r="78" customFormat="false" ht="15" hidden="false" customHeight="false" outlineLevel="0" collapsed="false">
      <c r="A78" s="31" t="str">
        <f aca="false">IF(C78="","",ROW()-9)</f>
        <v/>
      </c>
      <c r="B78" s="31" t="str">
        <f aca="true">IF(OR(C78="",F78=""),"","HH-"&amp;INDEX(DeptCodes,MATCH(F78,Depts,0))&amp;"-"&amp;TEXT(COUNTIF(F$10:F78,F78),"000"))</f>
        <v/>
      </c>
      <c r="C78" s="32"/>
      <c r="D78" s="32"/>
      <c r="E78" s="33"/>
      <c r="F78" s="33"/>
      <c r="G78" s="34"/>
      <c r="H78" s="33"/>
      <c r="I78" s="35"/>
      <c r="J78" s="36" t="str">
        <f aca="false">IF(OR(G78="",I78=""),"",G78*I78)</f>
        <v/>
      </c>
      <c r="K78" s="33"/>
      <c r="L78" s="34"/>
      <c r="M78" s="33"/>
      <c r="N78" s="32"/>
      <c r="O78" s="33"/>
      <c r="P78" s="37" t="str">
        <f aca="true">IF(E78="","",IFERROR(INDEX(CatLife,MATCH(E78,Cats,0)),""))</f>
        <v/>
      </c>
      <c r="Q78" s="36" t="str">
        <f aca="false">IF(OR(J78="",P78="",P78=0),IF(J78="","",0),J78/P78)</f>
        <v/>
      </c>
      <c r="R78" s="36" t="str">
        <f aca="false">IF(OR(Q78="",L78=""),"",MIN(J78,Q78*MAX(0,CurYear-L78)))</f>
        <v/>
      </c>
      <c r="S78" s="36" t="str">
        <f aca="false">IF(R78="",IF(J78="","",J78),J78-R78)</f>
        <v/>
      </c>
      <c r="T78" s="32"/>
    </row>
    <row r="79" customFormat="false" ht="15" hidden="false" customHeight="false" outlineLevel="0" collapsed="false">
      <c r="A79" s="31" t="str">
        <f aca="false">IF(C79="","",ROW()-9)</f>
        <v/>
      </c>
      <c r="B79" s="31" t="str">
        <f aca="true">IF(OR(C79="",F79=""),"","HH-"&amp;INDEX(DeptCodes,MATCH(F79,Depts,0))&amp;"-"&amp;TEXT(COUNTIF(F$10:F79,F79),"000"))</f>
        <v/>
      </c>
      <c r="C79" s="32"/>
      <c r="D79" s="32"/>
      <c r="E79" s="33"/>
      <c r="F79" s="33"/>
      <c r="G79" s="34"/>
      <c r="H79" s="33"/>
      <c r="I79" s="35"/>
      <c r="J79" s="36" t="str">
        <f aca="false">IF(OR(G79="",I79=""),"",G79*I79)</f>
        <v/>
      </c>
      <c r="K79" s="33"/>
      <c r="L79" s="34"/>
      <c r="M79" s="33"/>
      <c r="N79" s="32"/>
      <c r="O79" s="33"/>
      <c r="P79" s="37" t="str">
        <f aca="true">IF(E79="","",IFERROR(INDEX(CatLife,MATCH(E79,Cats,0)),""))</f>
        <v/>
      </c>
      <c r="Q79" s="36" t="str">
        <f aca="false">IF(OR(J79="",P79="",P79=0),IF(J79="","",0),J79/P79)</f>
        <v/>
      </c>
      <c r="R79" s="36" t="str">
        <f aca="false">IF(OR(Q79="",L79=""),"",MIN(J79,Q79*MAX(0,CurYear-L79)))</f>
        <v/>
      </c>
      <c r="S79" s="36" t="str">
        <f aca="false">IF(R79="",IF(J79="","",J79),J79-R79)</f>
        <v/>
      </c>
      <c r="T79" s="32"/>
    </row>
    <row r="80" customFormat="false" ht="15" hidden="false" customHeight="false" outlineLevel="0" collapsed="false">
      <c r="A80" s="31" t="str">
        <f aca="false">IF(C80="","",ROW()-9)</f>
        <v/>
      </c>
      <c r="B80" s="31" t="str">
        <f aca="true">IF(OR(C80="",F80=""),"","HH-"&amp;INDEX(DeptCodes,MATCH(F80,Depts,0))&amp;"-"&amp;TEXT(COUNTIF(F$10:F80,F80),"000"))</f>
        <v/>
      </c>
      <c r="C80" s="32"/>
      <c r="D80" s="32"/>
      <c r="E80" s="33"/>
      <c r="F80" s="33"/>
      <c r="G80" s="34"/>
      <c r="H80" s="33"/>
      <c r="I80" s="35"/>
      <c r="J80" s="36" t="str">
        <f aca="false">IF(OR(G80="",I80=""),"",G80*I80)</f>
        <v/>
      </c>
      <c r="K80" s="33"/>
      <c r="L80" s="34"/>
      <c r="M80" s="33"/>
      <c r="N80" s="32"/>
      <c r="O80" s="33"/>
      <c r="P80" s="37" t="str">
        <f aca="true">IF(E80="","",IFERROR(INDEX(CatLife,MATCH(E80,Cats,0)),""))</f>
        <v/>
      </c>
      <c r="Q80" s="36" t="str">
        <f aca="false">IF(OR(J80="",P80="",P80=0),IF(J80="","",0),J80/P80)</f>
        <v/>
      </c>
      <c r="R80" s="36" t="str">
        <f aca="false">IF(OR(Q80="",L80=""),"",MIN(J80,Q80*MAX(0,CurYear-L80)))</f>
        <v/>
      </c>
      <c r="S80" s="36" t="str">
        <f aca="false">IF(R80="",IF(J80="","",J80),J80-R80)</f>
        <v/>
      </c>
      <c r="T80" s="32"/>
    </row>
    <row r="81" customFormat="false" ht="15" hidden="false" customHeight="false" outlineLevel="0" collapsed="false">
      <c r="A81" s="31" t="str">
        <f aca="false">IF(C81="","",ROW()-9)</f>
        <v/>
      </c>
      <c r="B81" s="31" t="str">
        <f aca="true">IF(OR(C81="",F81=""),"","HH-"&amp;INDEX(DeptCodes,MATCH(F81,Depts,0))&amp;"-"&amp;TEXT(COUNTIF(F$10:F81,F81),"000"))</f>
        <v/>
      </c>
      <c r="C81" s="32"/>
      <c r="D81" s="32"/>
      <c r="E81" s="33"/>
      <c r="F81" s="33"/>
      <c r="G81" s="34"/>
      <c r="H81" s="33"/>
      <c r="I81" s="35"/>
      <c r="J81" s="36" t="str">
        <f aca="false">IF(OR(G81="",I81=""),"",G81*I81)</f>
        <v/>
      </c>
      <c r="K81" s="33"/>
      <c r="L81" s="34"/>
      <c r="M81" s="33"/>
      <c r="N81" s="32"/>
      <c r="O81" s="33"/>
      <c r="P81" s="37" t="str">
        <f aca="true">IF(E81="","",IFERROR(INDEX(CatLife,MATCH(E81,Cats,0)),""))</f>
        <v/>
      </c>
      <c r="Q81" s="36" t="str">
        <f aca="false">IF(OR(J81="",P81="",P81=0),IF(J81="","",0),J81/P81)</f>
        <v/>
      </c>
      <c r="R81" s="36" t="str">
        <f aca="false">IF(OR(Q81="",L81=""),"",MIN(J81,Q81*MAX(0,CurYear-L81)))</f>
        <v/>
      </c>
      <c r="S81" s="36" t="str">
        <f aca="false">IF(R81="",IF(J81="","",J81),J81-R81)</f>
        <v/>
      </c>
      <c r="T81" s="32"/>
    </row>
    <row r="82" customFormat="false" ht="15" hidden="false" customHeight="false" outlineLevel="0" collapsed="false">
      <c r="A82" s="31" t="str">
        <f aca="false">IF(C82="","",ROW()-9)</f>
        <v/>
      </c>
      <c r="B82" s="31" t="str">
        <f aca="true">IF(OR(C82="",F82=""),"","HH-"&amp;INDEX(DeptCodes,MATCH(F82,Depts,0))&amp;"-"&amp;TEXT(COUNTIF(F$10:F82,F82),"000"))</f>
        <v/>
      </c>
      <c r="C82" s="32"/>
      <c r="D82" s="32"/>
      <c r="E82" s="33"/>
      <c r="F82" s="33"/>
      <c r="G82" s="34"/>
      <c r="H82" s="33"/>
      <c r="I82" s="35"/>
      <c r="J82" s="36" t="str">
        <f aca="false">IF(OR(G82="",I82=""),"",G82*I82)</f>
        <v/>
      </c>
      <c r="K82" s="33"/>
      <c r="L82" s="34"/>
      <c r="M82" s="33"/>
      <c r="N82" s="32"/>
      <c r="O82" s="33"/>
      <c r="P82" s="37" t="str">
        <f aca="true">IF(E82="","",IFERROR(INDEX(CatLife,MATCH(E82,Cats,0)),""))</f>
        <v/>
      </c>
      <c r="Q82" s="36" t="str">
        <f aca="false">IF(OR(J82="",P82="",P82=0),IF(J82="","",0),J82/P82)</f>
        <v/>
      </c>
      <c r="R82" s="36" t="str">
        <f aca="false">IF(OR(Q82="",L82=""),"",MIN(J82,Q82*MAX(0,CurYear-L82)))</f>
        <v/>
      </c>
      <c r="S82" s="36" t="str">
        <f aca="false">IF(R82="",IF(J82="","",J82),J82-R82)</f>
        <v/>
      </c>
      <c r="T82" s="32"/>
    </row>
    <row r="83" customFormat="false" ht="15" hidden="false" customHeight="false" outlineLevel="0" collapsed="false">
      <c r="A83" s="31" t="str">
        <f aca="false">IF(C83="","",ROW()-9)</f>
        <v/>
      </c>
      <c r="B83" s="31" t="str">
        <f aca="true">IF(OR(C83="",F83=""),"","HH-"&amp;INDEX(DeptCodes,MATCH(F83,Depts,0))&amp;"-"&amp;TEXT(COUNTIF(F$10:F83,F83),"000"))</f>
        <v/>
      </c>
      <c r="C83" s="32"/>
      <c r="D83" s="32"/>
      <c r="E83" s="33"/>
      <c r="F83" s="33"/>
      <c r="G83" s="34"/>
      <c r="H83" s="33"/>
      <c r="I83" s="35"/>
      <c r="J83" s="36" t="str">
        <f aca="false">IF(OR(G83="",I83=""),"",G83*I83)</f>
        <v/>
      </c>
      <c r="K83" s="33"/>
      <c r="L83" s="34"/>
      <c r="M83" s="33"/>
      <c r="N83" s="32"/>
      <c r="O83" s="33"/>
      <c r="P83" s="37" t="str">
        <f aca="true">IF(E83="","",IFERROR(INDEX(CatLife,MATCH(E83,Cats,0)),""))</f>
        <v/>
      </c>
      <c r="Q83" s="36" t="str">
        <f aca="false">IF(OR(J83="",P83="",P83=0),IF(J83="","",0),J83/P83)</f>
        <v/>
      </c>
      <c r="R83" s="36" t="str">
        <f aca="false">IF(OR(Q83="",L83=""),"",MIN(J83,Q83*MAX(0,CurYear-L83)))</f>
        <v/>
      </c>
      <c r="S83" s="36" t="str">
        <f aca="false">IF(R83="",IF(J83="","",J83),J83-R83)</f>
        <v/>
      </c>
      <c r="T83" s="32"/>
    </row>
    <row r="84" customFormat="false" ht="15" hidden="false" customHeight="false" outlineLevel="0" collapsed="false">
      <c r="A84" s="31" t="str">
        <f aca="false">IF(C84="","",ROW()-9)</f>
        <v/>
      </c>
      <c r="B84" s="31" t="str">
        <f aca="true">IF(OR(C84="",F84=""),"","HH-"&amp;INDEX(DeptCodes,MATCH(F84,Depts,0))&amp;"-"&amp;TEXT(COUNTIF(F$10:F84,F84),"000"))</f>
        <v/>
      </c>
      <c r="C84" s="32"/>
      <c r="D84" s="32"/>
      <c r="E84" s="33"/>
      <c r="F84" s="33"/>
      <c r="G84" s="34"/>
      <c r="H84" s="33"/>
      <c r="I84" s="35"/>
      <c r="J84" s="36" t="str">
        <f aca="false">IF(OR(G84="",I84=""),"",G84*I84)</f>
        <v/>
      </c>
      <c r="K84" s="33"/>
      <c r="L84" s="34"/>
      <c r="M84" s="33"/>
      <c r="N84" s="32"/>
      <c r="O84" s="33"/>
      <c r="P84" s="37" t="str">
        <f aca="true">IF(E84="","",IFERROR(INDEX(CatLife,MATCH(E84,Cats,0)),""))</f>
        <v/>
      </c>
      <c r="Q84" s="36" t="str">
        <f aca="false">IF(OR(J84="",P84="",P84=0),IF(J84="","",0),J84/P84)</f>
        <v/>
      </c>
      <c r="R84" s="36" t="str">
        <f aca="false">IF(OR(Q84="",L84=""),"",MIN(J84,Q84*MAX(0,CurYear-L84)))</f>
        <v/>
      </c>
      <c r="S84" s="36" t="str">
        <f aca="false">IF(R84="",IF(J84="","",J84),J84-R84)</f>
        <v/>
      </c>
      <c r="T84" s="32"/>
    </row>
    <row r="85" customFormat="false" ht="15" hidden="false" customHeight="false" outlineLevel="0" collapsed="false">
      <c r="A85" s="31" t="str">
        <f aca="false">IF(C85="","",ROW()-9)</f>
        <v/>
      </c>
      <c r="B85" s="31" t="str">
        <f aca="true">IF(OR(C85="",F85=""),"","HH-"&amp;INDEX(DeptCodes,MATCH(F85,Depts,0))&amp;"-"&amp;TEXT(COUNTIF(F$10:F85,F85),"000"))</f>
        <v/>
      </c>
      <c r="C85" s="32"/>
      <c r="D85" s="32"/>
      <c r="E85" s="33"/>
      <c r="F85" s="33"/>
      <c r="G85" s="34"/>
      <c r="H85" s="33"/>
      <c r="I85" s="35"/>
      <c r="J85" s="36" t="str">
        <f aca="false">IF(OR(G85="",I85=""),"",G85*I85)</f>
        <v/>
      </c>
      <c r="K85" s="33"/>
      <c r="L85" s="34"/>
      <c r="M85" s="33"/>
      <c r="N85" s="32"/>
      <c r="O85" s="33"/>
      <c r="P85" s="37" t="str">
        <f aca="true">IF(E85="","",IFERROR(INDEX(CatLife,MATCH(E85,Cats,0)),""))</f>
        <v/>
      </c>
      <c r="Q85" s="36" t="str">
        <f aca="false">IF(OR(J85="",P85="",P85=0),IF(J85="","",0),J85/P85)</f>
        <v/>
      </c>
      <c r="R85" s="36" t="str">
        <f aca="false">IF(OR(Q85="",L85=""),"",MIN(J85,Q85*MAX(0,CurYear-L85)))</f>
        <v/>
      </c>
      <c r="S85" s="36" t="str">
        <f aca="false">IF(R85="",IF(J85="","",J85),J85-R85)</f>
        <v/>
      </c>
      <c r="T85" s="32"/>
    </row>
    <row r="86" customFormat="false" ht="15" hidden="false" customHeight="false" outlineLevel="0" collapsed="false">
      <c r="A86" s="31" t="str">
        <f aca="false">IF(C86="","",ROW()-9)</f>
        <v/>
      </c>
      <c r="B86" s="31" t="str">
        <f aca="true">IF(OR(C86="",F86=""),"","HH-"&amp;INDEX(DeptCodes,MATCH(F86,Depts,0))&amp;"-"&amp;TEXT(COUNTIF(F$10:F86,F86),"000"))</f>
        <v/>
      </c>
      <c r="C86" s="32"/>
      <c r="D86" s="32"/>
      <c r="E86" s="33"/>
      <c r="F86" s="33"/>
      <c r="G86" s="34"/>
      <c r="H86" s="33"/>
      <c r="I86" s="35"/>
      <c r="J86" s="36" t="str">
        <f aca="false">IF(OR(G86="",I86=""),"",G86*I86)</f>
        <v/>
      </c>
      <c r="K86" s="33"/>
      <c r="L86" s="34"/>
      <c r="M86" s="33"/>
      <c r="N86" s="32"/>
      <c r="O86" s="33"/>
      <c r="P86" s="37" t="str">
        <f aca="true">IF(E86="","",IFERROR(INDEX(CatLife,MATCH(E86,Cats,0)),""))</f>
        <v/>
      </c>
      <c r="Q86" s="36" t="str">
        <f aca="false">IF(OR(J86="",P86="",P86=0),IF(J86="","",0),J86/P86)</f>
        <v/>
      </c>
      <c r="R86" s="36" t="str">
        <f aca="false">IF(OR(Q86="",L86=""),"",MIN(J86,Q86*MAX(0,CurYear-L86)))</f>
        <v/>
      </c>
      <c r="S86" s="36" t="str">
        <f aca="false">IF(R86="",IF(J86="","",J86),J86-R86)</f>
        <v/>
      </c>
      <c r="T86" s="32"/>
    </row>
    <row r="87" customFormat="false" ht="15" hidden="false" customHeight="false" outlineLevel="0" collapsed="false">
      <c r="A87" s="31" t="str">
        <f aca="false">IF(C87="","",ROW()-9)</f>
        <v/>
      </c>
      <c r="B87" s="31" t="str">
        <f aca="true">IF(OR(C87="",F87=""),"","HH-"&amp;INDEX(DeptCodes,MATCH(F87,Depts,0))&amp;"-"&amp;TEXT(COUNTIF(F$10:F87,F87),"000"))</f>
        <v/>
      </c>
      <c r="C87" s="32"/>
      <c r="D87" s="32"/>
      <c r="E87" s="33"/>
      <c r="F87" s="33"/>
      <c r="G87" s="34"/>
      <c r="H87" s="33"/>
      <c r="I87" s="35"/>
      <c r="J87" s="36" t="str">
        <f aca="false">IF(OR(G87="",I87=""),"",G87*I87)</f>
        <v/>
      </c>
      <c r="K87" s="33"/>
      <c r="L87" s="34"/>
      <c r="M87" s="33"/>
      <c r="N87" s="32"/>
      <c r="O87" s="33"/>
      <c r="P87" s="37" t="str">
        <f aca="true">IF(E87="","",IFERROR(INDEX(CatLife,MATCH(E87,Cats,0)),""))</f>
        <v/>
      </c>
      <c r="Q87" s="36" t="str">
        <f aca="false">IF(OR(J87="",P87="",P87=0),IF(J87="","",0),J87/P87)</f>
        <v/>
      </c>
      <c r="R87" s="36" t="str">
        <f aca="false">IF(OR(Q87="",L87=""),"",MIN(J87,Q87*MAX(0,CurYear-L87)))</f>
        <v/>
      </c>
      <c r="S87" s="36" t="str">
        <f aca="false">IF(R87="",IF(J87="","",J87),J87-R87)</f>
        <v/>
      </c>
      <c r="T87" s="32"/>
    </row>
    <row r="88" customFormat="false" ht="15" hidden="false" customHeight="false" outlineLevel="0" collapsed="false">
      <c r="A88" s="31" t="str">
        <f aca="false">IF(C88="","",ROW()-9)</f>
        <v/>
      </c>
      <c r="B88" s="31" t="str">
        <f aca="true">IF(OR(C88="",F88=""),"","HH-"&amp;INDEX(DeptCodes,MATCH(F88,Depts,0))&amp;"-"&amp;TEXT(COUNTIF(F$10:F88,F88),"000"))</f>
        <v/>
      </c>
      <c r="C88" s="32"/>
      <c r="D88" s="32"/>
      <c r="E88" s="33"/>
      <c r="F88" s="33"/>
      <c r="G88" s="34"/>
      <c r="H88" s="33"/>
      <c r="I88" s="35"/>
      <c r="J88" s="36" t="str">
        <f aca="false">IF(OR(G88="",I88=""),"",G88*I88)</f>
        <v/>
      </c>
      <c r="K88" s="33"/>
      <c r="L88" s="34"/>
      <c r="M88" s="33"/>
      <c r="N88" s="32"/>
      <c r="O88" s="33"/>
      <c r="P88" s="37" t="str">
        <f aca="true">IF(E88="","",IFERROR(INDEX(CatLife,MATCH(E88,Cats,0)),""))</f>
        <v/>
      </c>
      <c r="Q88" s="36" t="str">
        <f aca="false">IF(OR(J88="",P88="",P88=0),IF(J88="","",0),J88/P88)</f>
        <v/>
      </c>
      <c r="R88" s="36" t="str">
        <f aca="false">IF(OR(Q88="",L88=""),"",MIN(J88,Q88*MAX(0,CurYear-L88)))</f>
        <v/>
      </c>
      <c r="S88" s="36" t="str">
        <f aca="false">IF(R88="",IF(J88="","",J88),J88-R88)</f>
        <v/>
      </c>
      <c r="T88" s="32"/>
    </row>
    <row r="89" customFormat="false" ht="15" hidden="false" customHeight="false" outlineLevel="0" collapsed="false">
      <c r="A89" s="31" t="str">
        <f aca="false">IF(C89="","",ROW()-9)</f>
        <v/>
      </c>
      <c r="B89" s="31" t="str">
        <f aca="true">IF(OR(C89="",F89=""),"","HH-"&amp;INDEX(DeptCodes,MATCH(F89,Depts,0))&amp;"-"&amp;TEXT(COUNTIF(F$10:F89,F89),"000"))</f>
        <v/>
      </c>
      <c r="C89" s="32"/>
      <c r="D89" s="32"/>
      <c r="E89" s="33"/>
      <c r="F89" s="33"/>
      <c r="G89" s="34"/>
      <c r="H89" s="33"/>
      <c r="I89" s="35"/>
      <c r="J89" s="36" t="str">
        <f aca="false">IF(OR(G89="",I89=""),"",G89*I89)</f>
        <v/>
      </c>
      <c r="K89" s="33"/>
      <c r="L89" s="34"/>
      <c r="M89" s="33"/>
      <c r="N89" s="32"/>
      <c r="O89" s="33"/>
      <c r="P89" s="37" t="str">
        <f aca="true">IF(E89="","",IFERROR(INDEX(CatLife,MATCH(E89,Cats,0)),""))</f>
        <v/>
      </c>
      <c r="Q89" s="36" t="str">
        <f aca="false">IF(OR(J89="",P89="",P89=0),IF(J89="","",0),J89/P89)</f>
        <v/>
      </c>
      <c r="R89" s="36" t="str">
        <f aca="false">IF(OR(Q89="",L89=""),"",MIN(J89,Q89*MAX(0,CurYear-L89)))</f>
        <v/>
      </c>
      <c r="S89" s="36" t="str">
        <f aca="false">IF(R89="",IF(J89="","",J89),J89-R89)</f>
        <v/>
      </c>
      <c r="T89" s="32"/>
    </row>
    <row r="90" customFormat="false" ht="15" hidden="false" customHeight="false" outlineLevel="0" collapsed="false">
      <c r="A90" s="31" t="str">
        <f aca="false">IF(C90="","",ROW()-9)</f>
        <v/>
      </c>
      <c r="B90" s="31" t="str">
        <f aca="true">IF(OR(C90="",F90=""),"","HH-"&amp;INDEX(DeptCodes,MATCH(F90,Depts,0))&amp;"-"&amp;TEXT(COUNTIF(F$10:F90,F90),"000"))</f>
        <v/>
      </c>
      <c r="C90" s="32"/>
      <c r="D90" s="32"/>
      <c r="E90" s="33"/>
      <c r="F90" s="33"/>
      <c r="G90" s="34"/>
      <c r="H90" s="33"/>
      <c r="I90" s="35"/>
      <c r="J90" s="36" t="str">
        <f aca="false">IF(OR(G90="",I90=""),"",G90*I90)</f>
        <v/>
      </c>
      <c r="K90" s="33"/>
      <c r="L90" s="34"/>
      <c r="M90" s="33"/>
      <c r="N90" s="32"/>
      <c r="O90" s="33"/>
      <c r="P90" s="37" t="str">
        <f aca="true">IF(E90="","",IFERROR(INDEX(CatLife,MATCH(E90,Cats,0)),""))</f>
        <v/>
      </c>
      <c r="Q90" s="36" t="str">
        <f aca="false">IF(OR(J90="",P90="",P90=0),IF(J90="","",0),J90/P90)</f>
        <v/>
      </c>
      <c r="R90" s="36" t="str">
        <f aca="false">IF(OR(Q90="",L90=""),"",MIN(J90,Q90*MAX(0,CurYear-L90)))</f>
        <v/>
      </c>
      <c r="S90" s="36" t="str">
        <f aca="false">IF(R90="",IF(J90="","",J90),J90-R90)</f>
        <v/>
      </c>
      <c r="T90" s="32"/>
    </row>
    <row r="91" customFormat="false" ht="15" hidden="false" customHeight="false" outlineLevel="0" collapsed="false">
      <c r="A91" s="31" t="str">
        <f aca="false">IF(C91="","",ROW()-9)</f>
        <v/>
      </c>
      <c r="B91" s="31" t="str">
        <f aca="true">IF(OR(C91="",F91=""),"","HH-"&amp;INDEX(DeptCodes,MATCH(F91,Depts,0))&amp;"-"&amp;TEXT(COUNTIF(F$10:F91,F91),"000"))</f>
        <v/>
      </c>
      <c r="C91" s="32"/>
      <c r="D91" s="32"/>
      <c r="E91" s="33"/>
      <c r="F91" s="33"/>
      <c r="G91" s="34"/>
      <c r="H91" s="33"/>
      <c r="I91" s="35"/>
      <c r="J91" s="36" t="str">
        <f aca="false">IF(OR(G91="",I91=""),"",G91*I91)</f>
        <v/>
      </c>
      <c r="K91" s="33"/>
      <c r="L91" s="34"/>
      <c r="M91" s="33"/>
      <c r="N91" s="32"/>
      <c r="O91" s="33"/>
      <c r="P91" s="37" t="str">
        <f aca="true">IF(E91="","",IFERROR(INDEX(CatLife,MATCH(E91,Cats,0)),""))</f>
        <v/>
      </c>
      <c r="Q91" s="36" t="str">
        <f aca="false">IF(OR(J91="",P91="",P91=0),IF(J91="","",0),J91/P91)</f>
        <v/>
      </c>
      <c r="R91" s="36" t="str">
        <f aca="false">IF(OR(Q91="",L91=""),"",MIN(J91,Q91*MAX(0,CurYear-L91)))</f>
        <v/>
      </c>
      <c r="S91" s="36" t="str">
        <f aca="false">IF(R91="",IF(J91="","",J91),J91-R91)</f>
        <v/>
      </c>
      <c r="T91" s="32"/>
    </row>
    <row r="92" customFormat="false" ht="15" hidden="false" customHeight="false" outlineLevel="0" collapsed="false">
      <c r="A92" s="31" t="str">
        <f aca="false">IF(C92="","",ROW()-9)</f>
        <v/>
      </c>
      <c r="B92" s="31" t="str">
        <f aca="true">IF(OR(C92="",F92=""),"","HH-"&amp;INDEX(DeptCodes,MATCH(F92,Depts,0))&amp;"-"&amp;TEXT(COUNTIF(F$10:F92,F92),"000"))</f>
        <v/>
      </c>
      <c r="C92" s="32"/>
      <c r="D92" s="32"/>
      <c r="E92" s="33"/>
      <c r="F92" s="33"/>
      <c r="G92" s="34"/>
      <c r="H92" s="33"/>
      <c r="I92" s="35"/>
      <c r="J92" s="36" t="str">
        <f aca="false">IF(OR(G92="",I92=""),"",G92*I92)</f>
        <v/>
      </c>
      <c r="K92" s="33"/>
      <c r="L92" s="34"/>
      <c r="M92" s="33"/>
      <c r="N92" s="32"/>
      <c r="O92" s="33"/>
      <c r="P92" s="37" t="str">
        <f aca="true">IF(E92="","",IFERROR(INDEX(CatLife,MATCH(E92,Cats,0)),""))</f>
        <v/>
      </c>
      <c r="Q92" s="36" t="str">
        <f aca="false">IF(OR(J92="",P92="",P92=0),IF(J92="","",0),J92/P92)</f>
        <v/>
      </c>
      <c r="R92" s="36" t="str">
        <f aca="false">IF(OR(Q92="",L92=""),"",MIN(J92,Q92*MAX(0,CurYear-L92)))</f>
        <v/>
      </c>
      <c r="S92" s="36" t="str">
        <f aca="false">IF(R92="",IF(J92="","",J92),J92-R92)</f>
        <v/>
      </c>
      <c r="T92" s="32"/>
    </row>
    <row r="93" customFormat="false" ht="15" hidden="false" customHeight="false" outlineLevel="0" collapsed="false">
      <c r="A93" s="31" t="str">
        <f aca="false">IF(C93="","",ROW()-9)</f>
        <v/>
      </c>
      <c r="B93" s="31" t="str">
        <f aca="true">IF(OR(C93="",F93=""),"","HH-"&amp;INDEX(DeptCodes,MATCH(F93,Depts,0))&amp;"-"&amp;TEXT(COUNTIF(F$10:F93,F93),"000"))</f>
        <v/>
      </c>
      <c r="C93" s="32"/>
      <c r="D93" s="32"/>
      <c r="E93" s="33"/>
      <c r="F93" s="33"/>
      <c r="G93" s="34"/>
      <c r="H93" s="33"/>
      <c r="I93" s="35"/>
      <c r="J93" s="36" t="str">
        <f aca="false">IF(OR(G93="",I93=""),"",G93*I93)</f>
        <v/>
      </c>
      <c r="K93" s="33"/>
      <c r="L93" s="34"/>
      <c r="M93" s="33"/>
      <c r="N93" s="32"/>
      <c r="O93" s="33"/>
      <c r="P93" s="37" t="str">
        <f aca="true">IF(E93="","",IFERROR(INDEX(CatLife,MATCH(E93,Cats,0)),""))</f>
        <v/>
      </c>
      <c r="Q93" s="36" t="str">
        <f aca="false">IF(OR(J93="",P93="",P93=0),IF(J93="","",0),J93/P93)</f>
        <v/>
      </c>
      <c r="R93" s="36" t="str">
        <f aca="false">IF(OR(Q93="",L93=""),"",MIN(J93,Q93*MAX(0,CurYear-L93)))</f>
        <v/>
      </c>
      <c r="S93" s="36" t="str">
        <f aca="false">IF(R93="",IF(J93="","",J93),J93-R93)</f>
        <v/>
      </c>
      <c r="T93" s="32"/>
    </row>
    <row r="94" customFormat="false" ht="15" hidden="false" customHeight="false" outlineLevel="0" collapsed="false">
      <c r="A94" s="31" t="str">
        <f aca="false">IF(C94="","",ROW()-9)</f>
        <v/>
      </c>
      <c r="B94" s="31" t="str">
        <f aca="true">IF(OR(C94="",F94=""),"","HH-"&amp;INDEX(DeptCodes,MATCH(F94,Depts,0))&amp;"-"&amp;TEXT(COUNTIF(F$10:F94,F94),"000"))</f>
        <v/>
      </c>
      <c r="C94" s="32"/>
      <c r="D94" s="32"/>
      <c r="E94" s="33"/>
      <c r="F94" s="33"/>
      <c r="G94" s="34"/>
      <c r="H94" s="33"/>
      <c r="I94" s="35"/>
      <c r="J94" s="36" t="str">
        <f aca="false">IF(OR(G94="",I94=""),"",G94*I94)</f>
        <v/>
      </c>
      <c r="K94" s="33"/>
      <c r="L94" s="34"/>
      <c r="M94" s="33"/>
      <c r="N94" s="32"/>
      <c r="O94" s="33"/>
      <c r="P94" s="37" t="str">
        <f aca="true">IF(E94="","",IFERROR(INDEX(CatLife,MATCH(E94,Cats,0)),""))</f>
        <v/>
      </c>
      <c r="Q94" s="36" t="str">
        <f aca="false">IF(OR(J94="",P94="",P94=0),IF(J94="","",0),J94/P94)</f>
        <v/>
      </c>
      <c r="R94" s="36" t="str">
        <f aca="false">IF(OR(Q94="",L94=""),"",MIN(J94,Q94*MAX(0,CurYear-L94)))</f>
        <v/>
      </c>
      <c r="S94" s="36" t="str">
        <f aca="false">IF(R94="",IF(J94="","",J94),J94-R94)</f>
        <v/>
      </c>
      <c r="T94" s="32"/>
    </row>
    <row r="95" customFormat="false" ht="15" hidden="false" customHeight="false" outlineLevel="0" collapsed="false">
      <c r="A95" s="31" t="str">
        <f aca="false">IF(C95="","",ROW()-9)</f>
        <v/>
      </c>
      <c r="B95" s="31" t="str">
        <f aca="true">IF(OR(C95="",F95=""),"","HH-"&amp;INDEX(DeptCodes,MATCH(F95,Depts,0))&amp;"-"&amp;TEXT(COUNTIF(F$10:F95,F95),"000"))</f>
        <v/>
      </c>
      <c r="C95" s="32"/>
      <c r="D95" s="32"/>
      <c r="E95" s="33"/>
      <c r="F95" s="33"/>
      <c r="G95" s="34"/>
      <c r="H95" s="33"/>
      <c r="I95" s="35"/>
      <c r="J95" s="36" t="str">
        <f aca="false">IF(OR(G95="",I95=""),"",G95*I95)</f>
        <v/>
      </c>
      <c r="K95" s="33"/>
      <c r="L95" s="34"/>
      <c r="M95" s="33"/>
      <c r="N95" s="32"/>
      <c r="O95" s="33"/>
      <c r="P95" s="37" t="str">
        <f aca="true">IF(E95="","",IFERROR(INDEX(CatLife,MATCH(E95,Cats,0)),""))</f>
        <v/>
      </c>
      <c r="Q95" s="36" t="str">
        <f aca="false">IF(OR(J95="",P95="",P95=0),IF(J95="","",0),J95/P95)</f>
        <v/>
      </c>
      <c r="R95" s="36" t="str">
        <f aca="false">IF(OR(Q95="",L95=""),"",MIN(J95,Q95*MAX(0,CurYear-L95)))</f>
        <v/>
      </c>
      <c r="S95" s="36" t="str">
        <f aca="false">IF(R95="",IF(J95="","",J95),J95-R95)</f>
        <v/>
      </c>
      <c r="T95" s="32"/>
    </row>
    <row r="96" customFormat="false" ht="15" hidden="false" customHeight="false" outlineLevel="0" collapsed="false">
      <c r="A96" s="31" t="str">
        <f aca="false">IF(C96="","",ROW()-9)</f>
        <v/>
      </c>
      <c r="B96" s="31" t="str">
        <f aca="true">IF(OR(C96="",F96=""),"","HH-"&amp;INDEX(DeptCodes,MATCH(F96,Depts,0))&amp;"-"&amp;TEXT(COUNTIF(F$10:F96,F96),"000"))</f>
        <v/>
      </c>
      <c r="C96" s="32"/>
      <c r="D96" s="32"/>
      <c r="E96" s="33"/>
      <c r="F96" s="33"/>
      <c r="G96" s="34"/>
      <c r="H96" s="33"/>
      <c r="I96" s="35"/>
      <c r="J96" s="36" t="str">
        <f aca="false">IF(OR(G96="",I96=""),"",G96*I96)</f>
        <v/>
      </c>
      <c r="K96" s="33"/>
      <c r="L96" s="34"/>
      <c r="M96" s="33"/>
      <c r="N96" s="32"/>
      <c r="O96" s="33"/>
      <c r="P96" s="37" t="str">
        <f aca="true">IF(E96="","",IFERROR(INDEX(CatLife,MATCH(E96,Cats,0)),""))</f>
        <v/>
      </c>
      <c r="Q96" s="36" t="str">
        <f aca="false">IF(OR(J96="",P96="",P96=0),IF(J96="","",0),J96/P96)</f>
        <v/>
      </c>
      <c r="R96" s="36" t="str">
        <f aca="false">IF(OR(Q96="",L96=""),"",MIN(J96,Q96*MAX(0,CurYear-L96)))</f>
        <v/>
      </c>
      <c r="S96" s="36" t="str">
        <f aca="false">IF(R96="",IF(J96="","",J96),J96-R96)</f>
        <v/>
      </c>
      <c r="T96" s="32"/>
    </row>
    <row r="97" customFormat="false" ht="15" hidden="false" customHeight="false" outlineLevel="0" collapsed="false">
      <c r="A97" s="31" t="str">
        <f aca="false">IF(C97="","",ROW()-9)</f>
        <v/>
      </c>
      <c r="B97" s="31" t="str">
        <f aca="true">IF(OR(C97="",F97=""),"","HH-"&amp;INDEX(DeptCodes,MATCH(F97,Depts,0))&amp;"-"&amp;TEXT(COUNTIF(F$10:F97,F97),"000"))</f>
        <v/>
      </c>
      <c r="C97" s="32"/>
      <c r="D97" s="32"/>
      <c r="E97" s="33"/>
      <c r="F97" s="33"/>
      <c r="G97" s="34"/>
      <c r="H97" s="33"/>
      <c r="I97" s="35"/>
      <c r="J97" s="36" t="str">
        <f aca="false">IF(OR(G97="",I97=""),"",G97*I97)</f>
        <v/>
      </c>
      <c r="K97" s="33"/>
      <c r="L97" s="34"/>
      <c r="M97" s="33"/>
      <c r="N97" s="32"/>
      <c r="O97" s="33"/>
      <c r="P97" s="37" t="str">
        <f aca="true">IF(E97="","",IFERROR(INDEX(CatLife,MATCH(E97,Cats,0)),""))</f>
        <v/>
      </c>
      <c r="Q97" s="36" t="str">
        <f aca="false">IF(OR(J97="",P97="",P97=0),IF(J97="","",0),J97/P97)</f>
        <v/>
      </c>
      <c r="R97" s="36" t="str">
        <f aca="false">IF(OR(Q97="",L97=""),"",MIN(J97,Q97*MAX(0,CurYear-L97)))</f>
        <v/>
      </c>
      <c r="S97" s="36" t="str">
        <f aca="false">IF(R97="",IF(J97="","",J97),J97-R97)</f>
        <v/>
      </c>
      <c r="T97" s="32"/>
    </row>
    <row r="98" customFormat="false" ht="15" hidden="false" customHeight="false" outlineLevel="0" collapsed="false">
      <c r="A98" s="31" t="str">
        <f aca="false">IF(C98="","",ROW()-9)</f>
        <v/>
      </c>
      <c r="B98" s="31" t="str">
        <f aca="true">IF(OR(C98="",F98=""),"","HH-"&amp;INDEX(DeptCodes,MATCH(F98,Depts,0))&amp;"-"&amp;TEXT(COUNTIF(F$10:F98,F98),"000"))</f>
        <v/>
      </c>
      <c r="C98" s="32"/>
      <c r="D98" s="32"/>
      <c r="E98" s="33"/>
      <c r="F98" s="33"/>
      <c r="G98" s="34"/>
      <c r="H98" s="33"/>
      <c r="I98" s="35"/>
      <c r="J98" s="36" t="str">
        <f aca="false">IF(OR(G98="",I98=""),"",G98*I98)</f>
        <v/>
      </c>
      <c r="K98" s="33"/>
      <c r="L98" s="34"/>
      <c r="M98" s="33"/>
      <c r="N98" s="32"/>
      <c r="O98" s="33"/>
      <c r="P98" s="37" t="str">
        <f aca="true">IF(E98="","",IFERROR(INDEX(CatLife,MATCH(E98,Cats,0)),""))</f>
        <v/>
      </c>
      <c r="Q98" s="36" t="str">
        <f aca="false">IF(OR(J98="",P98="",P98=0),IF(J98="","",0),J98/P98)</f>
        <v/>
      </c>
      <c r="R98" s="36" t="str">
        <f aca="false">IF(OR(Q98="",L98=""),"",MIN(J98,Q98*MAX(0,CurYear-L98)))</f>
        <v/>
      </c>
      <c r="S98" s="36" t="str">
        <f aca="false">IF(R98="",IF(J98="","",J98),J98-R98)</f>
        <v/>
      </c>
      <c r="T98" s="32"/>
    </row>
    <row r="99" customFormat="false" ht="15" hidden="false" customHeight="false" outlineLevel="0" collapsed="false">
      <c r="A99" s="31" t="str">
        <f aca="false">IF(C99="","",ROW()-9)</f>
        <v/>
      </c>
      <c r="B99" s="31" t="str">
        <f aca="true">IF(OR(C99="",F99=""),"","HH-"&amp;INDEX(DeptCodes,MATCH(F99,Depts,0))&amp;"-"&amp;TEXT(COUNTIF(F$10:F99,F99),"000"))</f>
        <v/>
      </c>
      <c r="C99" s="32"/>
      <c r="D99" s="32"/>
      <c r="E99" s="33"/>
      <c r="F99" s="33"/>
      <c r="G99" s="34"/>
      <c r="H99" s="33"/>
      <c r="I99" s="35"/>
      <c r="J99" s="36" t="str">
        <f aca="false">IF(OR(G99="",I99=""),"",G99*I99)</f>
        <v/>
      </c>
      <c r="K99" s="33"/>
      <c r="L99" s="34"/>
      <c r="M99" s="33"/>
      <c r="N99" s="32"/>
      <c r="O99" s="33"/>
      <c r="P99" s="37" t="str">
        <f aca="true">IF(E99="","",IFERROR(INDEX(CatLife,MATCH(E99,Cats,0)),""))</f>
        <v/>
      </c>
      <c r="Q99" s="36" t="str">
        <f aca="false">IF(OR(J99="",P99="",P99=0),IF(J99="","",0),J99/P99)</f>
        <v/>
      </c>
      <c r="R99" s="36" t="str">
        <f aca="false">IF(OR(Q99="",L99=""),"",MIN(J99,Q99*MAX(0,CurYear-L99)))</f>
        <v/>
      </c>
      <c r="S99" s="36" t="str">
        <f aca="false">IF(R99="",IF(J99="","",J99),J99-R99)</f>
        <v/>
      </c>
      <c r="T99" s="32"/>
    </row>
    <row r="100" customFormat="false" ht="15" hidden="false" customHeight="false" outlineLevel="0" collapsed="false">
      <c r="A100" s="31" t="str">
        <f aca="false">IF(C100="","",ROW()-9)</f>
        <v/>
      </c>
      <c r="B100" s="31" t="str">
        <f aca="true">IF(OR(C100="",F100=""),"","HH-"&amp;INDEX(DeptCodes,MATCH(F100,Depts,0))&amp;"-"&amp;TEXT(COUNTIF(F$10:F100,F100),"000"))</f>
        <v/>
      </c>
      <c r="C100" s="32"/>
      <c r="D100" s="32"/>
      <c r="E100" s="33"/>
      <c r="F100" s="33"/>
      <c r="G100" s="34"/>
      <c r="H100" s="33"/>
      <c r="I100" s="35"/>
      <c r="J100" s="36" t="str">
        <f aca="false">IF(OR(G100="",I100=""),"",G100*I100)</f>
        <v/>
      </c>
      <c r="K100" s="33"/>
      <c r="L100" s="34"/>
      <c r="M100" s="33"/>
      <c r="N100" s="32"/>
      <c r="O100" s="33"/>
      <c r="P100" s="37" t="str">
        <f aca="true">IF(E100="","",IFERROR(INDEX(CatLife,MATCH(E100,Cats,0)),""))</f>
        <v/>
      </c>
      <c r="Q100" s="36" t="str">
        <f aca="false">IF(OR(J100="",P100="",P100=0),IF(J100="","",0),J100/P100)</f>
        <v/>
      </c>
      <c r="R100" s="36" t="str">
        <f aca="false">IF(OR(Q100="",L100=""),"",MIN(J100,Q100*MAX(0,CurYear-L100)))</f>
        <v/>
      </c>
      <c r="S100" s="36" t="str">
        <f aca="false">IF(R100="",IF(J100="","",J100),J100-R100)</f>
        <v/>
      </c>
      <c r="T100" s="32"/>
    </row>
    <row r="101" customFormat="false" ht="15" hidden="false" customHeight="false" outlineLevel="0" collapsed="false">
      <c r="A101" s="31" t="str">
        <f aca="false">IF(C101="","",ROW()-9)</f>
        <v/>
      </c>
      <c r="B101" s="31" t="str">
        <f aca="true">IF(OR(C101="",F101=""),"","HH-"&amp;INDEX(DeptCodes,MATCH(F101,Depts,0))&amp;"-"&amp;TEXT(COUNTIF(F$10:F101,F101),"000"))</f>
        <v/>
      </c>
      <c r="C101" s="32"/>
      <c r="D101" s="32"/>
      <c r="E101" s="33"/>
      <c r="F101" s="33"/>
      <c r="G101" s="34"/>
      <c r="H101" s="33"/>
      <c r="I101" s="35"/>
      <c r="J101" s="36" t="str">
        <f aca="false">IF(OR(G101="",I101=""),"",G101*I101)</f>
        <v/>
      </c>
      <c r="K101" s="33"/>
      <c r="L101" s="34"/>
      <c r="M101" s="33"/>
      <c r="N101" s="32"/>
      <c r="O101" s="33"/>
      <c r="P101" s="37" t="str">
        <f aca="true">IF(E101="","",IFERROR(INDEX(CatLife,MATCH(E101,Cats,0)),""))</f>
        <v/>
      </c>
      <c r="Q101" s="36" t="str">
        <f aca="false">IF(OR(J101="",P101="",P101=0),IF(J101="","",0),J101/P101)</f>
        <v/>
      </c>
      <c r="R101" s="36" t="str">
        <f aca="false">IF(OR(Q101="",L101=""),"",MIN(J101,Q101*MAX(0,CurYear-L101)))</f>
        <v/>
      </c>
      <c r="S101" s="36" t="str">
        <f aca="false">IF(R101="",IF(J101="","",J101),J101-R101)</f>
        <v/>
      </c>
      <c r="T101" s="32"/>
    </row>
    <row r="102" customFormat="false" ht="15" hidden="false" customHeight="false" outlineLevel="0" collapsed="false">
      <c r="A102" s="31" t="str">
        <f aca="false">IF(C102="","",ROW()-9)</f>
        <v/>
      </c>
      <c r="B102" s="31" t="str">
        <f aca="true">IF(OR(C102="",F102=""),"","HH-"&amp;INDEX(DeptCodes,MATCH(F102,Depts,0))&amp;"-"&amp;TEXT(COUNTIF(F$10:F102,F102),"000"))</f>
        <v/>
      </c>
      <c r="C102" s="32"/>
      <c r="D102" s="32"/>
      <c r="E102" s="33"/>
      <c r="F102" s="33"/>
      <c r="G102" s="34"/>
      <c r="H102" s="33"/>
      <c r="I102" s="35"/>
      <c r="J102" s="36" t="str">
        <f aca="false">IF(OR(G102="",I102=""),"",G102*I102)</f>
        <v/>
      </c>
      <c r="K102" s="33"/>
      <c r="L102" s="34"/>
      <c r="M102" s="33"/>
      <c r="N102" s="32"/>
      <c r="O102" s="33"/>
      <c r="P102" s="37" t="str">
        <f aca="true">IF(E102="","",IFERROR(INDEX(CatLife,MATCH(E102,Cats,0)),""))</f>
        <v/>
      </c>
      <c r="Q102" s="36" t="str">
        <f aca="false">IF(OR(J102="",P102="",P102=0),IF(J102="","",0),J102/P102)</f>
        <v/>
      </c>
      <c r="R102" s="36" t="str">
        <f aca="false">IF(OR(Q102="",L102=""),"",MIN(J102,Q102*MAX(0,CurYear-L102)))</f>
        <v/>
      </c>
      <c r="S102" s="36" t="str">
        <f aca="false">IF(R102="",IF(J102="","",J102),J102-R102)</f>
        <v/>
      </c>
      <c r="T102" s="32"/>
    </row>
    <row r="103" customFormat="false" ht="15" hidden="false" customHeight="false" outlineLevel="0" collapsed="false">
      <c r="A103" s="31" t="str">
        <f aca="false">IF(C103="","",ROW()-9)</f>
        <v/>
      </c>
      <c r="B103" s="31" t="str">
        <f aca="true">IF(OR(C103="",F103=""),"","HH-"&amp;INDEX(DeptCodes,MATCH(F103,Depts,0))&amp;"-"&amp;TEXT(COUNTIF(F$10:F103,F103),"000"))</f>
        <v/>
      </c>
      <c r="C103" s="32"/>
      <c r="D103" s="32"/>
      <c r="E103" s="33"/>
      <c r="F103" s="33"/>
      <c r="G103" s="34"/>
      <c r="H103" s="33"/>
      <c r="I103" s="35"/>
      <c r="J103" s="36" t="str">
        <f aca="false">IF(OR(G103="",I103=""),"",G103*I103)</f>
        <v/>
      </c>
      <c r="K103" s="33"/>
      <c r="L103" s="34"/>
      <c r="M103" s="33"/>
      <c r="N103" s="32"/>
      <c r="O103" s="33"/>
      <c r="P103" s="37" t="str">
        <f aca="true">IF(E103="","",IFERROR(INDEX(CatLife,MATCH(E103,Cats,0)),""))</f>
        <v/>
      </c>
      <c r="Q103" s="36" t="str">
        <f aca="false">IF(OR(J103="",P103="",P103=0),IF(J103="","",0),J103/P103)</f>
        <v/>
      </c>
      <c r="R103" s="36" t="str">
        <f aca="false">IF(OR(Q103="",L103=""),"",MIN(J103,Q103*MAX(0,CurYear-L103)))</f>
        <v/>
      </c>
      <c r="S103" s="36" t="str">
        <f aca="false">IF(R103="",IF(J103="","",J103),J103-R103)</f>
        <v/>
      </c>
      <c r="T103" s="32"/>
    </row>
    <row r="104" customFormat="false" ht="15" hidden="false" customHeight="false" outlineLevel="0" collapsed="false">
      <c r="A104" s="31" t="str">
        <f aca="false">IF(C104="","",ROW()-9)</f>
        <v/>
      </c>
      <c r="B104" s="31" t="str">
        <f aca="true">IF(OR(C104="",F104=""),"","HH-"&amp;INDEX(DeptCodes,MATCH(F104,Depts,0))&amp;"-"&amp;TEXT(COUNTIF(F$10:F104,F104),"000"))</f>
        <v/>
      </c>
      <c r="C104" s="32"/>
      <c r="D104" s="32"/>
      <c r="E104" s="33"/>
      <c r="F104" s="33"/>
      <c r="G104" s="34"/>
      <c r="H104" s="33"/>
      <c r="I104" s="35"/>
      <c r="J104" s="36" t="str">
        <f aca="false">IF(OR(G104="",I104=""),"",G104*I104)</f>
        <v/>
      </c>
      <c r="K104" s="33"/>
      <c r="L104" s="34"/>
      <c r="M104" s="33"/>
      <c r="N104" s="32"/>
      <c r="O104" s="33"/>
      <c r="P104" s="37" t="str">
        <f aca="true">IF(E104="","",IFERROR(INDEX(CatLife,MATCH(E104,Cats,0)),""))</f>
        <v/>
      </c>
      <c r="Q104" s="36" t="str">
        <f aca="false">IF(OR(J104="",P104="",P104=0),IF(J104="","",0),J104/P104)</f>
        <v/>
      </c>
      <c r="R104" s="36" t="str">
        <f aca="false">IF(OR(Q104="",L104=""),"",MIN(J104,Q104*MAX(0,CurYear-L104)))</f>
        <v/>
      </c>
      <c r="S104" s="36" t="str">
        <f aca="false">IF(R104="",IF(J104="","",J104),J104-R104)</f>
        <v/>
      </c>
      <c r="T104" s="32"/>
    </row>
    <row r="105" customFormat="false" ht="15" hidden="false" customHeight="false" outlineLevel="0" collapsed="false">
      <c r="A105" s="31" t="str">
        <f aca="false">IF(C105="","",ROW()-9)</f>
        <v/>
      </c>
      <c r="B105" s="31" t="str">
        <f aca="true">IF(OR(C105="",F105=""),"","HH-"&amp;INDEX(DeptCodes,MATCH(F105,Depts,0))&amp;"-"&amp;TEXT(COUNTIF(F$10:F105,F105),"000"))</f>
        <v/>
      </c>
      <c r="C105" s="32"/>
      <c r="D105" s="32"/>
      <c r="E105" s="33"/>
      <c r="F105" s="33"/>
      <c r="G105" s="34"/>
      <c r="H105" s="33"/>
      <c r="I105" s="35"/>
      <c r="J105" s="36" t="str">
        <f aca="false">IF(OR(G105="",I105=""),"",G105*I105)</f>
        <v/>
      </c>
      <c r="K105" s="33"/>
      <c r="L105" s="34"/>
      <c r="M105" s="33"/>
      <c r="N105" s="32"/>
      <c r="O105" s="33"/>
      <c r="P105" s="37" t="str">
        <f aca="true">IF(E105="","",IFERROR(INDEX(CatLife,MATCH(E105,Cats,0)),""))</f>
        <v/>
      </c>
      <c r="Q105" s="36" t="str">
        <f aca="false">IF(OR(J105="",P105="",P105=0),IF(J105="","",0),J105/P105)</f>
        <v/>
      </c>
      <c r="R105" s="36" t="str">
        <f aca="false">IF(OR(Q105="",L105=""),"",MIN(J105,Q105*MAX(0,CurYear-L105)))</f>
        <v/>
      </c>
      <c r="S105" s="36" t="str">
        <f aca="false">IF(R105="",IF(J105="","",J105),J105-R105)</f>
        <v/>
      </c>
      <c r="T105" s="32"/>
    </row>
    <row r="106" customFormat="false" ht="15" hidden="false" customHeight="false" outlineLevel="0" collapsed="false">
      <c r="A106" s="31" t="str">
        <f aca="false">IF(C106="","",ROW()-9)</f>
        <v/>
      </c>
      <c r="B106" s="31" t="str">
        <f aca="true">IF(OR(C106="",F106=""),"","HH-"&amp;INDEX(DeptCodes,MATCH(F106,Depts,0))&amp;"-"&amp;TEXT(COUNTIF(F$10:F106,F106),"000"))</f>
        <v/>
      </c>
      <c r="C106" s="32"/>
      <c r="D106" s="32"/>
      <c r="E106" s="33"/>
      <c r="F106" s="33"/>
      <c r="G106" s="34"/>
      <c r="H106" s="33"/>
      <c r="I106" s="35"/>
      <c r="J106" s="36" t="str">
        <f aca="false">IF(OR(G106="",I106=""),"",G106*I106)</f>
        <v/>
      </c>
      <c r="K106" s="33"/>
      <c r="L106" s="34"/>
      <c r="M106" s="33"/>
      <c r="N106" s="32"/>
      <c r="O106" s="33"/>
      <c r="P106" s="37" t="str">
        <f aca="true">IF(E106="","",IFERROR(INDEX(CatLife,MATCH(E106,Cats,0)),""))</f>
        <v/>
      </c>
      <c r="Q106" s="36" t="str">
        <f aca="false">IF(OR(J106="",P106="",P106=0),IF(J106="","",0),J106/P106)</f>
        <v/>
      </c>
      <c r="R106" s="36" t="str">
        <f aca="false">IF(OR(Q106="",L106=""),"",MIN(J106,Q106*MAX(0,CurYear-L106)))</f>
        <v/>
      </c>
      <c r="S106" s="36" t="str">
        <f aca="false">IF(R106="",IF(J106="","",J106),J106-R106)</f>
        <v/>
      </c>
      <c r="T106" s="32"/>
    </row>
    <row r="107" customFormat="false" ht="15" hidden="false" customHeight="false" outlineLevel="0" collapsed="false">
      <c r="A107" s="31" t="str">
        <f aca="false">IF(C107="","",ROW()-9)</f>
        <v/>
      </c>
      <c r="B107" s="31" t="str">
        <f aca="true">IF(OR(C107="",F107=""),"","HH-"&amp;INDEX(DeptCodes,MATCH(F107,Depts,0))&amp;"-"&amp;TEXT(COUNTIF(F$10:F107,F107),"000"))</f>
        <v/>
      </c>
      <c r="C107" s="32"/>
      <c r="D107" s="32"/>
      <c r="E107" s="33"/>
      <c r="F107" s="33"/>
      <c r="G107" s="34"/>
      <c r="H107" s="33"/>
      <c r="I107" s="35"/>
      <c r="J107" s="36" t="str">
        <f aca="false">IF(OR(G107="",I107=""),"",G107*I107)</f>
        <v/>
      </c>
      <c r="K107" s="33"/>
      <c r="L107" s="34"/>
      <c r="M107" s="33"/>
      <c r="N107" s="32"/>
      <c r="O107" s="33"/>
      <c r="P107" s="37" t="str">
        <f aca="true">IF(E107="","",IFERROR(INDEX(CatLife,MATCH(E107,Cats,0)),""))</f>
        <v/>
      </c>
      <c r="Q107" s="36" t="str">
        <f aca="false">IF(OR(J107="",P107="",P107=0),IF(J107="","",0),J107/P107)</f>
        <v/>
      </c>
      <c r="R107" s="36" t="str">
        <f aca="false">IF(OR(Q107="",L107=""),"",MIN(J107,Q107*MAX(0,CurYear-L107)))</f>
        <v/>
      </c>
      <c r="S107" s="36" t="str">
        <f aca="false">IF(R107="",IF(J107="","",J107),J107-R107)</f>
        <v/>
      </c>
      <c r="T107" s="32"/>
    </row>
    <row r="108" customFormat="false" ht="15" hidden="false" customHeight="false" outlineLevel="0" collapsed="false">
      <c r="A108" s="31" t="str">
        <f aca="false">IF(C108="","",ROW()-9)</f>
        <v/>
      </c>
      <c r="B108" s="31" t="str">
        <f aca="true">IF(OR(C108="",F108=""),"","HH-"&amp;INDEX(DeptCodes,MATCH(F108,Depts,0))&amp;"-"&amp;TEXT(COUNTIF(F$10:F108,F108),"000"))</f>
        <v/>
      </c>
      <c r="C108" s="32"/>
      <c r="D108" s="32"/>
      <c r="E108" s="33"/>
      <c r="F108" s="33"/>
      <c r="G108" s="34"/>
      <c r="H108" s="33"/>
      <c r="I108" s="35"/>
      <c r="J108" s="36" t="str">
        <f aca="false">IF(OR(G108="",I108=""),"",G108*I108)</f>
        <v/>
      </c>
      <c r="K108" s="33"/>
      <c r="L108" s="34"/>
      <c r="M108" s="33"/>
      <c r="N108" s="32"/>
      <c r="O108" s="33"/>
      <c r="P108" s="37" t="str">
        <f aca="true">IF(E108="","",IFERROR(INDEX(CatLife,MATCH(E108,Cats,0)),""))</f>
        <v/>
      </c>
      <c r="Q108" s="36" t="str">
        <f aca="false">IF(OR(J108="",P108="",P108=0),IF(J108="","",0),J108/P108)</f>
        <v/>
      </c>
      <c r="R108" s="36" t="str">
        <f aca="false">IF(OR(Q108="",L108=""),"",MIN(J108,Q108*MAX(0,CurYear-L108)))</f>
        <v/>
      </c>
      <c r="S108" s="36" t="str">
        <f aca="false">IF(R108="",IF(J108="","",J108),J108-R108)</f>
        <v/>
      </c>
      <c r="T108" s="32"/>
    </row>
    <row r="109" customFormat="false" ht="15" hidden="false" customHeight="false" outlineLevel="0" collapsed="false">
      <c r="A109" s="31" t="str">
        <f aca="false">IF(C109="","",ROW()-9)</f>
        <v/>
      </c>
      <c r="B109" s="31" t="str">
        <f aca="true">IF(OR(C109="",F109=""),"","HH-"&amp;INDEX(DeptCodes,MATCH(F109,Depts,0))&amp;"-"&amp;TEXT(COUNTIF(F$10:F109,F109),"000"))</f>
        <v/>
      </c>
      <c r="C109" s="32"/>
      <c r="D109" s="32"/>
      <c r="E109" s="33"/>
      <c r="F109" s="33"/>
      <c r="G109" s="34"/>
      <c r="H109" s="33"/>
      <c r="I109" s="35"/>
      <c r="J109" s="36" t="str">
        <f aca="false">IF(OR(G109="",I109=""),"",G109*I109)</f>
        <v/>
      </c>
      <c r="K109" s="33"/>
      <c r="L109" s="34"/>
      <c r="M109" s="33"/>
      <c r="N109" s="32"/>
      <c r="O109" s="33"/>
      <c r="P109" s="37" t="str">
        <f aca="true">IF(E109="","",IFERROR(INDEX(CatLife,MATCH(E109,Cats,0)),""))</f>
        <v/>
      </c>
      <c r="Q109" s="36" t="str">
        <f aca="false">IF(OR(J109="",P109="",P109=0),IF(J109="","",0),J109/P109)</f>
        <v/>
      </c>
      <c r="R109" s="36" t="str">
        <f aca="false">IF(OR(Q109="",L109=""),"",MIN(J109,Q109*MAX(0,CurYear-L109)))</f>
        <v/>
      </c>
      <c r="S109" s="36" t="str">
        <f aca="false">IF(R109="",IF(J109="","",J109),J109-R109)</f>
        <v/>
      </c>
      <c r="T109" s="32"/>
    </row>
    <row r="110" customFormat="false" ht="15" hidden="false" customHeight="false" outlineLevel="0" collapsed="false">
      <c r="A110" s="31" t="str">
        <f aca="false">IF(C110="","",ROW()-9)</f>
        <v/>
      </c>
      <c r="B110" s="31" t="str">
        <f aca="true">IF(OR(C110="",F110=""),"","HH-"&amp;INDEX(DeptCodes,MATCH(F110,Depts,0))&amp;"-"&amp;TEXT(COUNTIF(F$10:F110,F110),"000"))</f>
        <v/>
      </c>
      <c r="C110" s="32"/>
      <c r="D110" s="32"/>
      <c r="E110" s="33"/>
      <c r="F110" s="33"/>
      <c r="G110" s="34"/>
      <c r="H110" s="33"/>
      <c r="I110" s="35"/>
      <c r="J110" s="36" t="str">
        <f aca="false">IF(OR(G110="",I110=""),"",G110*I110)</f>
        <v/>
      </c>
      <c r="K110" s="33"/>
      <c r="L110" s="34"/>
      <c r="M110" s="33"/>
      <c r="N110" s="32"/>
      <c r="O110" s="33"/>
      <c r="P110" s="37" t="str">
        <f aca="true">IF(E110="","",IFERROR(INDEX(CatLife,MATCH(E110,Cats,0)),""))</f>
        <v/>
      </c>
      <c r="Q110" s="36" t="str">
        <f aca="false">IF(OR(J110="",P110="",P110=0),IF(J110="","",0),J110/P110)</f>
        <v/>
      </c>
      <c r="R110" s="36" t="str">
        <f aca="false">IF(OR(Q110="",L110=""),"",MIN(J110,Q110*MAX(0,CurYear-L110)))</f>
        <v/>
      </c>
      <c r="S110" s="36" t="str">
        <f aca="false">IF(R110="",IF(J110="","",J110),J110-R110)</f>
        <v/>
      </c>
      <c r="T110" s="32"/>
    </row>
    <row r="111" customFormat="false" ht="15" hidden="false" customHeight="false" outlineLevel="0" collapsed="false">
      <c r="A111" s="31" t="str">
        <f aca="false">IF(C111="","",ROW()-9)</f>
        <v/>
      </c>
      <c r="B111" s="31" t="str">
        <f aca="true">IF(OR(C111="",F111=""),"","HH-"&amp;INDEX(DeptCodes,MATCH(F111,Depts,0))&amp;"-"&amp;TEXT(COUNTIF(F$10:F111,F111),"000"))</f>
        <v/>
      </c>
      <c r="C111" s="32"/>
      <c r="D111" s="32"/>
      <c r="E111" s="33"/>
      <c r="F111" s="33"/>
      <c r="G111" s="34"/>
      <c r="H111" s="33"/>
      <c r="I111" s="35"/>
      <c r="J111" s="36" t="str">
        <f aca="false">IF(OR(G111="",I111=""),"",G111*I111)</f>
        <v/>
      </c>
      <c r="K111" s="33"/>
      <c r="L111" s="34"/>
      <c r="M111" s="33"/>
      <c r="N111" s="32"/>
      <c r="O111" s="33"/>
      <c r="P111" s="37" t="str">
        <f aca="true">IF(E111="","",IFERROR(INDEX(CatLife,MATCH(E111,Cats,0)),""))</f>
        <v/>
      </c>
      <c r="Q111" s="36" t="str">
        <f aca="false">IF(OR(J111="",P111="",P111=0),IF(J111="","",0),J111/P111)</f>
        <v/>
      </c>
      <c r="R111" s="36" t="str">
        <f aca="false">IF(OR(Q111="",L111=""),"",MIN(J111,Q111*MAX(0,CurYear-L111)))</f>
        <v/>
      </c>
      <c r="S111" s="36" t="str">
        <f aca="false">IF(R111="",IF(J111="","",J111),J111-R111)</f>
        <v/>
      </c>
      <c r="T111" s="32"/>
    </row>
    <row r="112" customFormat="false" ht="15" hidden="false" customHeight="false" outlineLevel="0" collapsed="false">
      <c r="A112" s="31" t="str">
        <f aca="false">IF(C112="","",ROW()-9)</f>
        <v/>
      </c>
      <c r="B112" s="31" t="str">
        <f aca="true">IF(OR(C112="",F112=""),"","HH-"&amp;INDEX(DeptCodes,MATCH(F112,Depts,0))&amp;"-"&amp;TEXT(COUNTIF(F$10:F112,F112),"000"))</f>
        <v/>
      </c>
      <c r="C112" s="32"/>
      <c r="D112" s="32"/>
      <c r="E112" s="33"/>
      <c r="F112" s="33"/>
      <c r="G112" s="34"/>
      <c r="H112" s="33"/>
      <c r="I112" s="35"/>
      <c r="J112" s="36" t="str">
        <f aca="false">IF(OR(G112="",I112=""),"",G112*I112)</f>
        <v/>
      </c>
      <c r="K112" s="33"/>
      <c r="L112" s="34"/>
      <c r="M112" s="33"/>
      <c r="N112" s="32"/>
      <c r="O112" s="33"/>
      <c r="P112" s="37" t="str">
        <f aca="true">IF(E112="","",IFERROR(INDEX(CatLife,MATCH(E112,Cats,0)),""))</f>
        <v/>
      </c>
      <c r="Q112" s="36" t="str">
        <f aca="false">IF(OR(J112="",P112="",P112=0),IF(J112="","",0),J112/P112)</f>
        <v/>
      </c>
      <c r="R112" s="36" t="str">
        <f aca="false">IF(OR(Q112="",L112=""),"",MIN(J112,Q112*MAX(0,CurYear-L112)))</f>
        <v/>
      </c>
      <c r="S112" s="36" t="str">
        <f aca="false">IF(R112="",IF(J112="","",J112),J112-R112)</f>
        <v/>
      </c>
      <c r="T112" s="32"/>
    </row>
    <row r="113" customFormat="false" ht="15" hidden="false" customHeight="false" outlineLevel="0" collapsed="false">
      <c r="A113" s="31" t="str">
        <f aca="false">IF(C113="","",ROW()-9)</f>
        <v/>
      </c>
      <c r="B113" s="31" t="str">
        <f aca="true">IF(OR(C113="",F113=""),"","HH-"&amp;INDEX(DeptCodes,MATCH(F113,Depts,0))&amp;"-"&amp;TEXT(COUNTIF(F$10:F113,F113),"000"))</f>
        <v/>
      </c>
      <c r="C113" s="32"/>
      <c r="D113" s="32"/>
      <c r="E113" s="33"/>
      <c r="F113" s="33"/>
      <c r="G113" s="34"/>
      <c r="H113" s="33"/>
      <c r="I113" s="35"/>
      <c r="J113" s="36" t="str">
        <f aca="false">IF(OR(G113="",I113=""),"",G113*I113)</f>
        <v/>
      </c>
      <c r="K113" s="33"/>
      <c r="L113" s="34"/>
      <c r="M113" s="33"/>
      <c r="N113" s="32"/>
      <c r="O113" s="33"/>
      <c r="P113" s="37" t="str">
        <f aca="true">IF(E113="","",IFERROR(INDEX(CatLife,MATCH(E113,Cats,0)),""))</f>
        <v/>
      </c>
      <c r="Q113" s="36" t="str">
        <f aca="false">IF(OR(J113="",P113="",P113=0),IF(J113="","",0),J113/P113)</f>
        <v/>
      </c>
      <c r="R113" s="36" t="str">
        <f aca="false">IF(OR(Q113="",L113=""),"",MIN(J113,Q113*MAX(0,CurYear-L113)))</f>
        <v/>
      </c>
      <c r="S113" s="36" t="str">
        <f aca="false">IF(R113="",IF(J113="","",J113),J113-R113)</f>
        <v/>
      </c>
      <c r="T113" s="32"/>
    </row>
    <row r="114" customFormat="false" ht="15" hidden="false" customHeight="false" outlineLevel="0" collapsed="false">
      <c r="A114" s="31" t="str">
        <f aca="false">IF(C114="","",ROW()-9)</f>
        <v/>
      </c>
      <c r="B114" s="31" t="str">
        <f aca="true">IF(OR(C114="",F114=""),"","HH-"&amp;INDEX(DeptCodes,MATCH(F114,Depts,0))&amp;"-"&amp;TEXT(COUNTIF(F$10:F114,F114),"000"))</f>
        <v/>
      </c>
      <c r="C114" s="32"/>
      <c r="D114" s="32"/>
      <c r="E114" s="33"/>
      <c r="F114" s="33"/>
      <c r="G114" s="34"/>
      <c r="H114" s="33"/>
      <c r="I114" s="35"/>
      <c r="J114" s="36" t="str">
        <f aca="false">IF(OR(G114="",I114=""),"",G114*I114)</f>
        <v/>
      </c>
      <c r="K114" s="33"/>
      <c r="L114" s="34"/>
      <c r="M114" s="33"/>
      <c r="N114" s="32"/>
      <c r="O114" s="33"/>
      <c r="P114" s="37" t="str">
        <f aca="true">IF(E114="","",IFERROR(INDEX(CatLife,MATCH(E114,Cats,0)),""))</f>
        <v/>
      </c>
      <c r="Q114" s="36" t="str">
        <f aca="false">IF(OR(J114="",P114="",P114=0),IF(J114="","",0),J114/P114)</f>
        <v/>
      </c>
      <c r="R114" s="36" t="str">
        <f aca="false">IF(OR(Q114="",L114=""),"",MIN(J114,Q114*MAX(0,CurYear-L114)))</f>
        <v/>
      </c>
      <c r="S114" s="36" t="str">
        <f aca="false">IF(R114="",IF(J114="","",J114),J114-R114)</f>
        <v/>
      </c>
      <c r="T114" s="32"/>
    </row>
    <row r="115" customFormat="false" ht="15" hidden="false" customHeight="false" outlineLevel="0" collapsed="false">
      <c r="A115" s="31" t="str">
        <f aca="false">IF(C115="","",ROW()-9)</f>
        <v/>
      </c>
      <c r="B115" s="31" t="str">
        <f aca="true">IF(OR(C115="",F115=""),"","HH-"&amp;INDEX(DeptCodes,MATCH(F115,Depts,0))&amp;"-"&amp;TEXT(COUNTIF(F$10:F115,F115),"000"))</f>
        <v/>
      </c>
      <c r="C115" s="32"/>
      <c r="D115" s="32"/>
      <c r="E115" s="33"/>
      <c r="F115" s="33"/>
      <c r="G115" s="34"/>
      <c r="H115" s="33"/>
      <c r="I115" s="35"/>
      <c r="J115" s="36" t="str">
        <f aca="false">IF(OR(G115="",I115=""),"",G115*I115)</f>
        <v/>
      </c>
      <c r="K115" s="33"/>
      <c r="L115" s="34"/>
      <c r="M115" s="33"/>
      <c r="N115" s="32"/>
      <c r="O115" s="33"/>
      <c r="P115" s="37" t="str">
        <f aca="true">IF(E115="","",IFERROR(INDEX(CatLife,MATCH(E115,Cats,0)),""))</f>
        <v/>
      </c>
      <c r="Q115" s="36" t="str">
        <f aca="false">IF(OR(J115="",P115="",P115=0),IF(J115="","",0),J115/P115)</f>
        <v/>
      </c>
      <c r="R115" s="36" t="str">
        <f aca="false">IF(OR(Q115="",L115=""),"",MIN(J115,Q115*MAX(0,CurYear-L115)))</f>
        <v/>
      </c>
      <c r="S115" s="36" t="str">
        <f aca="false">IF(R115="",IF(J115="","",J115),J115-R115)</f>
        <v/>
      </c>
      <c r="T115" s="32"/>
    </row>
    <row r="116" customFormat="false" ht="15" hidden="false" customHeight="false" outlineLevel="0" collapsed="false">
      <c r="A116" s="31" t="str">
        <f aca="false">IF(C116="","",ROW()-9)</f>
        <v/>
      </c>
      <c r="B116" s="31" t="str">
        <f aca="true">IF(OR(C116="",F116=""),"","HH-"&amp;INDEX(DeptCodes,MATCH(F116,Depts,0))&amp;"-"&amp;TEXT(COUNTIF(F$10:F116,F116),"000"))</f>
        <v/>
      </c>
      <c r="C116" s="32"/>
      <c r="D116" s="32"/>
      <c r="E116" s="33"/>
      <c r="F116" s="33"/>
      <c r="G116" s="34"/>
      <c r="H116" s="33"/>
      <c r="I116" s="35"/>
      <c r="J116" s="36" t="str">
        <f aca="false">IF(OR(G116="",I116=""),"",G116*I116)</f>
        <v/>
      </c>
      <c r="K116" s="33"/>
      <c r="L116" s="34"/>
      <c r="M116" s="33"/>
      <c r="N116" s="32"/>
      <c r="O116" s="33"/>
      <c r="P116" s="37" t="str">
        <f aca="true">IF(E116="","",IFERROR(INDEX(CatLife,MATCH(E116,Cats,0)),""))</f>
        <v/>
      </c>
      <c r="Q116" s="36" t="str">
        <f aca="false">IF(OR(J116="",P116="",P116=0),IF(J116="","",0),J116/P116)</f>
        <v/>
      </c>
      <c r="R116" s="36" t="str">
        <f aca="false">IF(OR(Q116="",L116=""),"",MIN(J116,Q116*MAX(0,CurYear-L116)))</f>
        <v/>
      </c>
      <c r="S116" s="36" t="str">
        <f aca="false">IF(R116="",IF(J116="","",J116),J116-R116)</f>
        <v/>
      </c>
      <c r="T116" s="32"/>
    </row>
    <row r="117" customFormat="false" ht="15" hidden="false" customHeight="false" outlineLevel="0" collapsed="false">
      <c r="A117" s="31" t="str">
        <f aca="false">IF(C117="","",ROW()-9)</f>
        <v/>
      </c>
      <c r="B117" s="31" t="str">
        <f aca="true">IF(OR(C117="",F117=""),"","HH-"&amp;INDEX(DeptCodes,MATCH(F117,Depts,0))&amp;"-"&amp;TEXT(COUNTIF(F$10:F117,F117),"000"))</f>
        <v/>
      </c>
      <c r="C117" s="32"/>
      <c r="D117" s="32"/>
      <c r="E117" s="33"/>
      <c r="F117" s="33"/>
      <c r="G117" s="34"/>
      <c r="H117" s="33"/>
      <c r="I117" s="35"/>
      <c r="J117" s="36" t="str">
        <f aca="false">IF(OR(G117="",I117=""),"",G117*I117)</f>
        <v/>
      </c>
      <c r="K117" s="33"/>
      <c r="L117" s="34"/>
      <c r="M117" s="33"/>
      <c r="N117" s="32"/>
      <c r="O117" s="33"/>
      <c r="P117" s="37" t="str">
        <f aca="true">IF(E117="","",IFERROR(INDEX(CatLife,MATCH(E117,Cats,0)),""))</f>
        <v/>
      </c>
      <c r="Q117" s="36" t="str">
        <f aca="false">IF(OR(J117="",P117="",P117=0),IF(J117="","",0),J117/P117)</f>
        <v/>
      </c>
      <c r="R117" s="36" t="str">
        <f aca="false">IF(OR(Q117="",L117=""),"",MIN(J117,Q117*MAX(0,CurYear-L117)))</f>
        <v/>
      </c>
      <c r="S117" s="36" t="str">
        <f aca="false">IF(R117="",IF(J117="","",J117),J117-R117)</f>
        <v/>
      </c>
      <c r="T117" s="32"/>
    </row>
    <row r="118" customFormat="false" ht="15" hidden="false" customHeight="false" outlineLevel="0" collapsed="false">
      <c r="A118" s="31" t="str">
        <f aca="false">IF(C118="","",ROW()-9)</f>
        <v/>
      </c>
      <c r="B118" s="31" t="str">
        <f aca="true">IF(OR(C118="",F118=""),"","HH-"&amp;INDEX(DeptCodes,MATCH(F118,Depts,0))&amp;"-"&amp;TEXT(COUNTIF(F$10:F118,F118),"000"))</f>
        <v/>
      </c>
      <c r="C118" s="32"/>
      <c r="D118" s="32"/>
      <c r="E118" s="33"/>
      <c r="F118" s="33"/>
      <c r="G118" s="34"/>
      <c r="H118" s="33"/>
      <c r="I118" s="35"/>
      <c r="J118" s="36" t="str">
        <f aca="false">IF(OR(G118="",I118=""),"",G118*I118)</f>
        <v/>
      </c>
      <c r="K118" s="33"/>
      <c r="L118" s="34"/>
      <c r="M118" s="33"/>
      <c r="N118" s="32"/>
      <c r="O118" s="33"/>
      <c r="P118" s="37" t="str">
        <f aca="true">IF(E118="","",IFERROR(INDEX(CatLife,MATCH(E118,Cats,0)),""))</f>
        <v/>
      </c>
      <c r="Q118" s="36" t="str">
        <f aca="false">IF(OR(J118="",P118="",P118=0),IF(J118="","",0),J118/P118)</f>
        <v/>
      </c>
      <c r="R118" s="36" t="str">
        <f aca="false">IF(OR(Q118="",L118=""),"",MIN(J118,Q118*MAX(0,CurYear-L118)))</f>
        <v/>
      </c>
      <c r="S118" s="36" t="str">
        <f aca="false">IF(R118="",IF(J118="","",J118),J118-R118)</f>
        <v/>
      </c>
      <c r="T118" s="32"/>
    </row>
    <row r="119" customFormat="false" ht="15" hidden="false" customHeight="false" outlineLevel="0" collapsed="false">
      <c r="A119" s="31" t="str">
        <f aca="false">IF(C119="","",ROW()-9)</f>
        <v/>
      </c>
      <c r="B119" s="31" t="str">
        <f aca="true">IF(OR(C119="",F119=""),"","HH-"&amp;INDEX(DeptCodes,MATCH(F119,Depts,0))&amp;"-"&amp;TEXT(COUNTIF(F$10:F119,F119),"000"))</f>
        <v/>
      </c>
      <c r="C119" s="32"/>
      <c r="D119" s="32"/>
      <c r="E119" s="33"/>
      <c r="F119" s="33"/>
      <c r="G119" s="34"/>
      <c r="H119" s="33"/>
      <c r="I119" s="35"/>
      <c r="J119" s="36" t="str">
        <f aca="false">IF(OR(G119="",I119=""),"",G119*I119)</f>
        <v/>
      </c>
      <c r="K119" s="33"/>
      <c r="L119" s="34"/>
      <c r="M119" s="33"/>
      <c r="N119" s="32"/>
      <c r="O119" s="33"/>
      <c r="P119" s="37" t="str">
        <f aca="true">IF(E119="","",IFERROR(INDEX(CatLife,MATCH(E119,Cats,0)),""))</f>
        <v/>
      </c>
      <c r="Q119" s="36" t="str">
        <f aca="false">IF(OR(J119="",P119="",P119=0),IF(J119="","",0),J119/P119)</f>
        <v/>
      </c>
      <c r="R119" s="36" t="str">
        <f aca="false">IF(OR(Q119="",L119=""),"",MIN(J119,Q119*MAX(0,CurYear-L119)))</f>
        <v/>
      </c>
      <c r="S119" s="36" t="str">
        <f aca="false">IF(R119="",IF(J119="","",J119),J119-R119)</f>
        <v/>
      </c>
      <c r="T119" s="32"/>
    </row>
    <row r="120" customFormat="false" ht="15" hidden="false" customHeight="false" outlineLevel="0" collapsed="false">
      <c r="A120" s="31" t="str">
        <f aca="false">IF(C120="","",ROW()-9)</f>
        <v/>
      </c>
      <c r="B120" s="31" t="str">
        <f aca="true">IF(OR(C120="",F120=""),"","HH-"&amp;INDEX(DeptCodes,MATCH(F120,Depts,0))&amp;"-"&amp;TEXT(COUNTIF(F$10:F120,F120),"000"))</f>
        <v/>
      </c>
      <c r="C120" s="32"/>
      <c r="D120" s="32"/>
      <c r="E120" s="33"/>
      <c r="F120" s="33"/>
      <c r="G120" s="34"/>
      <c r="H120" s="33"/>
      <c r="I120" s="35"/>
      <c r="J120" s="36" t="str">
        <f aca="false">IF(OR(G120="",I120=""),"",G120*I120)</f>
        <v/>
      </c>
      <c r="K120" s="33"/>
      <c r="L120" s="34"/>
      <c r="M120" s="33"/>
      <c r="N120" s="32"/>
      <c r="O120" s="33"/>
      <c r="P120" s="37" t="str">
        <f aca="true">IF(E120="","",IFERROR(INDEX(CatLife,MATCH(E120,Cats,0)),""))</f>
        <v/>
      </c>
      <c r="Q120" s="36" t="str">
        <f aca="false">IF(OR(J120="",P120="",P120=0),IF(J120="","",0),J120/P120)</f>
        <v/>
      </c>
      <c r="R120" s="36" t="str">
        <f aca="false">IF(OR(Q120="",L120=""),"",MIN(J120,Q120*MAX(0,CurYear-L120)))</f>
        <v/>
      </c>
      <c r="S120" s="36" t="str">
        <f aca="false">IF(R120="",IF(J120="","",J120),J120-R120)</f>
        <v/>
      </c>
      <c r="T120" s="32"/>
    </row>
    <row r="121" customFormat="false" ht="15" hidden="false" customHeight="false" outlineLevel="0" collapsed="false">
      <c r="A121" s="31" t="str">
        <f aca="false">IF(C121="","",ROW()-9)</f>
        <v/>
      </c>
      <c r="B121" s="31" t="str">
        <f aca="true">IF(OR(C121="",F121=""),"","HH-"&amp;INDEX(DeptCodes,MATCH(F121,Depts,0))&amp;"-"&amp;TEXT(COUNTIF(F$10:F121,F121),"000"))</f>
        <v/>
      </c>
      <c r="C121" s="32"/>
      <c r="D121" s="32"/>
      <c r="E121" s="33"/>
      <c r="F121" s="33"/>
      <c r="G121" s="34"/>
      <c r="H121" s="33"/>
      <c r="I121" s="35"/>
      <c r="J121" s="36" t="str">
        <f aca="false">IF(OR(G121="",I121=""),"",G121*I121)</f>
        <v/>
      </c>
      <c r="K121" s="33"/>
      <c r="L121" s="34"/>
      <c r="M121" s="33"/>
      <c r="N121" s="32"/>
      <c r="O121" s="33"/>
      <c r="P121" s="37" t="str">
        <f aca="true">IF(E121="","",IFERROR(INDEX(CatLife,MATCH(E121,Cats,0)),""))</f>
        <v/>
      </c>
      <c r="Q121" s="36" t="str">
        <f aca="false">IF(OR(J121="",P121="",P121=0),IF(J121="","",0),J121/P121)</f>
        <v/>
      </c>
      <c r="R121" s="36" t="str">
        <f aca="false">IF(OR(Q121="",L121=""),"",MIN(J121,Q121*MAX(0,CurYear-L121)))</f>
        <v/>
      </c>
      <c r="S121" s="36" t="str">
        <f aca="false">IF(R121="",IF(J121="","",J121),J121-R121)</f>
        <v/>
      </c>
      <c r="T121" s="32"/>
    </row>
    <row r="122" customFormat="false" ht="15" hidden="false" customHeight="false" outlineLevel="0" collapsed="false">
      <c r="A122" s="31" t="str">
        <f aca="false">IF(C122="","",ROW()-9)</f>
        <v/>
      </c>
      <c r="B122" s="31" t="str">
        <f aca="true">IF(OR(C122="",F122=""),"","HH-"&amp;INDEX(DeptCodes,MATCH(F122,Depts,0))&amp;"-"&amp;TEXT(COUNTIF(F$10:F122,F122),"000"))</f>
        <v/>
      </c>
      <c r="C122" s="32"/>
      <c r="D122" s="32"/>
      <c r="E122" s="33"/>
      <c r="F122" s="33"/>
      <c r="G122" s="34"/>
      <c r="H122" s="33"/>
      <c r="I122" s="35"/>
      <c r="J122" s="36" t="str">
        <f aca="false">IF(OR(G122="",I122=""),"",G122*I122)</f>
        <v/>
      </c>
      <c r="K122" s="33"/>
      <c r="L122" s="34"/>
      <c r="M122" s="33"/>
      <c r="N122" s="32"/>
      <c r="O122" s="33"/>
      <c r="P122" s="37" t="str">
        <f aca="true">IF(E122="","",IFERROR(INDEX(CatLife,MATCH(E122,Cats,0)),""))</f>
        <v/>
      </c>
      <c r="Q122" s="36" t="str">
        <f aca="false">IF(OR(J122="",P122="",P122=0),IF(J122="","",0),J122/P122)</f>
        <v/>
      </c>
      <c r="R122" s="36" t="str">
        <f aca="false">IF(OR(Q122="",L122=""),"",MIN(J122,Q122*MAX(0,CurYear-L122)))</f>
        <v/>
      </c>
      <c r="S122" s="36" t="str">
        <f aca="false">IF(R122="",IF(J122="","",J122),J122-R122)</f>
        <v/>
      </c>
      <c r="T122" s="32"/>
    </row>
    <row r="123" customFormat="false" ht="15" hidden="false" customHeight="false" outlineLevel="0" collapsed="false">
      <c r="A123" s="31" t="str">
        <f aca="false">IF(C123="","",ROW()-9)</f>
        <v/>
      </c>
      <c r="B123" s="31" t="str">
        <f aca="true">IF(OR(C123="",F123=""),"","HH-"&amp;INDEX(DeptCodes,MATCH(F123,Depts,0))&amp;"-"&amp;TEXT(COUNTIF(F$10:F123,F123),"000"))</f>
        <v/>
      </c>
      <c r="C123" s="32"/>
      <c r="D123" s="32"/>
      <c r="E123" s="33"/>
      <c r="F123" s="33"/>
      <c r="G123" s="34"/>
      <c r="H123" s="33"/>
      <c r="I123" s="35"/>
      <c r="J123" s="36" t="str">
        <f aca="false">IF(OR(G123="",I123=""),"",G123*I123)</f>
        <v/>
      </c>
      <c r="K123" s="33"/>
      <c r="L123" s="34"/>
      <c r="M123" s="33"/>
      <c r="N123" s="32"/>
      <c r="O123" s="33"/>
      <c r="P123" s="37" t="str">
        <f aca="true">IF(E123="","",IFERROR(INDEX(CatLife,MATCH(E123,Cats,0)),""))</f>
        <v/>
      </c>
      <c r="Q123" s="36" t="str">
        <f aca="false">IF(OR(J123="",P123="",P123=0),IF(J123="","",0),J123/P123)</f>
        <v/>
      </c>
      <c r="R123" s="36" t="str">
        <f aca="false">IF(OR(Q123="",L123=""),"",MIN(J123,Q123*MAX(0,CurYear-L123)))</f>
        <v/>
      </c>
      <c r="S123" s="36" t="str">
        <f aca="false">IF(R123="",IF(J123="","",J123),J123-R123)</f>
        <v/>
      </c>
      <c r="T123" s="32"/>
    </row>
    <row r="124" customFormat="false" ht="15" hidden="false" customHeight="false" outlineLevel="0" collapsed="false">
      <c r="A124" s="31" t="str">
        <f aca="false">IF(C124="","",ROW()-9)</f>
        <v/>
      </c>
      <c r="B124" s="31" t="str">
        <f aca="true">IF(OR(C124="",F124=""),"","HH-"&amp;INDEX(DeptCodes,MATCH(F124,Depts,0))&amp;"-"&amp;TEXT(COUNTIF(F$10:F124,F124),"000"))</f>
        <v/>
      </c>
      <c r="C124" s="32"/>
      <c r="D124" s="32"/>
      <c r="E124" s="33"/>
      <c r="F124" s="33"/>
      <c r="G124" s="34"/>
      <c r="H124" s="33"/>
      <c r="I124" s="35"/>
      <c r="J124" s="36" t="str">
        <f aca="false">IF(OR(G124="",I124=""),"",G124*I124)</f>
        <v/>
      </c>
      <c r="K124" s="33"/>
      <c r="L124" s="34"/>
      <c r="M124" s="33"/>
      <c r="N124" s="32"/>
      <c r="O124" s="33"/>
      <c r="P124" s="37" t="str">
        <f aca="true">IF(E124="","",IFERROR(INDEX(CatLife,MATCH(E124,Cats,0)),""))</f>
        <v/>
      </c>
      <c r="Q124" s="36" t="str">
        <f aca="false">IF(OR(J124="",P124="",P124=0),IF(J124="","",0),J124/P124)</f>
        <v/>
      </c>
      <c r="R124" s="36" t="str">
        <f aca="false">IF(OR(Q124="",L124=""),"",MIN(J124,Q124*MAX(0,CurYear-L124)))</f>
        <v/>
      </c>
      <c r="S124" s="36" t="str">
        <f aca="false">IF(R124="",IF(J124="","",J124),J124-R124)</f>
        <v/>
      </c>
      <c r="T124" s="32"/>
    </row>
    <row r="125" customFormat="false" ht="15" hidden="false" customHeight="false" outlineLevel="0" collapsed="false">
      <c r="A125" s="31" t="str">
        <f aca="false">IF(C125="","",ROW()-9)</f>
        <v/>
      </c>
      <c r="B125" s="31" t="str">
        <f aca="true">IF(OR(C125="",F125=""),"","HH-"&amp;INDEX(DeptCodes,MATCH(F125,Depts,0))&amp;"-"&amp;TEXT(COUNTIF(F$10:F125,F125),"000"))</f>
        <v/>
      </c>
      <c r="C125" s="32"/>
      <c r="D125" s="32"/>
      <c r="E125" s="33"/>
      <c r="F125" s="33"/>
      <c r="G125" s="34"/>
      <c r="H125" s="33"/>
      <c r="I125" s="35"/>
      <c r="J125" s="36" t="str">
        <f aca="false">IF(OR(G125="",I125=""),"",G125*I125)</f>
        <v/>
      </c>
      <c r="K125" s="33"/>
      <c r="L125" s="34"/>
      <c r="M125" s="33"/>
      <c r="N125" s="32"/>
      <c r="O125" s="33"/>
      <c r="P125" s="37" t="str">
        <f aca="true">IF(E125="","",IFERROR(INDEX(CatLife,MATCH(E125,Cats,0)),""))</f>
        <v/>
      </c>
      <c r="Q125" s="36" t="str">
        <f aca="false">IF(OR(J125="",P125="",P125=0),IF(J125="","",0),J125/P125)</f>
        <v/>
      </c>
      <c r="R125" s="36" t="str">
        <f aca="false">IF(OR(Q125="",L125=""),"",MIN(J125,Q125*MAX(0,CurYear-L125)))</f>
        <v/>
      </c>
      <c r="S125" s="36" t="str">
        <f aca="false">IF(R125="",IF(J125="","",J125),J125-R125)</f>
        <v/>
      </c>
      <c r="T125" s="32"/>
    </row>
    <row r="126" customFormat="false" ht="15" hidden="false" customHeight="false" outlineLevel="0" collapsed="false">
      <c r="A126" s="31" t="str">
        <f aca="false">IF(C126="","",ROW()-9)</f>
        <v/>
      </c>
      <c r="B126" s="31" t="str">
        <f aca="true">IF(OR(C126="",F126=""),"","HH-"&amp;INDEX(DeptCodes,MATCH(F126,Depts,0))&amp;"-"&amp;TEXT(COUNTIF(F$10:F126,F126),"000"))</f>
        <v/>
      </c>
      <c r="C126" s="32"/>
      <c r="D126" s="32"/>
      <c r="E126" s="33"/>
      <c r="F126" s="33"/>
      <c r="G126" s="34"/>
      <c r="H126" s="33"/>
      <c r="I126" s="35"/>
      <c r="J126" s="36" t="str">
        <f aca="false">IF(OR(G126="",I126=""),"",G126*I126)</f>
        <v/>
      </c>
      <c r="K126" s="33"/>
      <c r="L126" s="34"/>
      <c r="M126" s="33"/>
      <c r="N126" s="32"/>
      <c r="O126" s="33"/>
      <c r="P126" s="37" t="str">
        <f aca="true">IF(E126="","",IFERROR(INDEX(CatLife,MATCH(E126,Cats,0)),""))</f>
        <v/>
      </c>
      <c r="Q126" s="36" t="str">
        <f aca="false">IF(OR(J126="",P126="",P126=0),IF(J126="","",0),J126/P126)</f>
        <v/>
      </c>
      <c r="R126" s="36" t="str">
        <f aca="false">IF(OR(Q126="",L126=""),"",MIN(J126,Q126*MAX(0,CurYear-L126)))</f>
        <v/>
      </c>
      <c r="S126" s="36" t="str">
        <f aca="false">IF(R126="",IF(J126="","",J126),J126-R126)</f>
        <v/>
      </c>
      <c r="T126" s="32"/>
    </row>
    <row r="127" customFormat="false" ht="15" hidden="false" customHeight="false" outlineLevel="0" collapsed="false">
      <c r="A127" s="31" t="str">
        <f aca="false">IF(C127="","",ROW()-9)</f>
        <v/>
      </c>
      <c r="B127" s="31" t="str">
        <f aca="true">IF(OR(C127="",F127=""),"","HH-"&amp;INDEX(DeptCodes,MATCH(F127,Depts,0))&amp;"-"&amp;TEXT(COUNTIF(F$10:F127,F127),"000"))</f>
        <v/>
      </c>
      <c r="C127" s="32"/>
      <c r="D127" s="32"/>
      <c r="E127" s="33"/>
      <c r="F127" s="33"/>
      <c r="G127" s="34"/>
      <c r="H127" s="33"/>
      <c r="I127" s="35"/>
      <c r="J127" s="36" t="str">
        <f aca="false">IF(OR(G127="",I127=""),"",G127*I127)</f>
        <v/>
      </c>
      <c r="K127" s="33"/>
      <c r="L127" s="34"/>
      <c r="M127" s="33"/>
      <c r="N127" s="32"/>
      <c r="O127" s="33"/>
      <c r="P127" s="37" t="str">
        <f aca="true">IF(E127="","",IFERROR(INDEX(CatLife,MATCH(E127,Cats,0)),""))</f>
        <v/>
      </c>
      <c r="Q127" s="36" t="str">
        <f aca="false">IF(OR(J127="",P127="",P127=0),IF(J127="","",0),J127/P127)</f>
        <v/>
      </c>
      <c r="R127" s="36" t="str">
        <f aca="false">IF(OR(Q127="",L127=""),"",MIN(J127,Q127*MAX(0,CurYear-L127)))</f>
        <v/>
      </c>
      <c r="S127" s="36" t="str">
        <f aca="false">IF(R127="",IF(J127="","",J127),J127-R127)</f>
        <v/>
      </c>
      <c r="T127" s="32"/>
    </row>
    <row r="128" customFormat="false" ht="15" hidden="false" customHeight="false" outlineLevel="0" collapsed="false">
      <c r="A128" s="31" t="str">
        <f aca="false">IF(C128="","",ROW()-9)</f>
        <v/>
      </c>
      <c r="B128" s="31" t="str">
        <f aca="true">IF(OR(C128="",F128=""),"","HH-"&amp;INDEX(DeptCodes,MATCH(F128,Depts,0))&amp;"-"&amp;TEXT(COUNTIF(F$10:F128,F128),"000"))</f>
        <v/>
      </c>
      <c r="C128" s="32"/>
      <c r="D128" s="32"/>
      <c r="E128" s="33"/>
      <c r="F128" s="33"/>
      <c r="G128" s="34"/>
      <c r="H128" s="33"/>
      <c r="I128" s="35"/>
      <c r="J128" s="36" t="str">
        <f aca="false">IF(OR(G128="",I128=""),"",G128*I128)</f>
        <v/>
      </c>
      <c r="K128" s="33"/>
      <c r="L128" s="34"/>
      <c r="M128" s="33"/>
      <c r="N128" s="32"/>
      <c r="O128" s="33"/>
      <c r="P128" s="37" t="str">
        <f aca="true">IF(E128="","",IFERROR(INDEX(CatLife,MATCH(E128,Cats,0)),""))</f>
        <v/>
      </c>
      <c r="Q128" s="36" t="str">
        <f aca="false">IF(OR(J128="",P128="",P128=0),IF(J128="","",0),J128/P128)</f>
        <v/>
      </c>
      <c r="R128" s="36" t="str">
        <f aca="false">IF(OR(Q128="",L128=""),"",MIN(J128,Q128*MAX(0,CurYear-L128)))</f>
        <v/>
      </c>
      <c r="S128" s="36" t="str">
        <f aca="false">IF(R128="",IF(J128="","",J128),J128-R128)</f>
        <v/>
      </c>
      <c r="T128" s="32"/>
    </row>
    <row r="129" customFormat="false" ht="15" hidden="false" customHeight="false" outlineLevel="0" collapsed="false">
      <c r="A129" s="31" t="str">
        <f aca="false">IF(C129="","",ROW()-9)</f>
        <v/>
      </c>
      <c r="B129" s="31" t="str">
        <f aca="true">IF(OR(C129="",F129=""),"","HH-"&amp;INDEX(DeptCodes,MATCH(F129,Depts,0))&amp;"-"&amp;TEXT(COUNTIF(F$10:F129,F129),"000"))</f>
        <v/>
      </c>
      <c r="C129" s="32"/>
      <c r="D129" s="32"/>
      <c r="E129" s="33"/>
      <c r="F129" s="33"/>
      <c r="G129" s="34"/>
      <c r="H129" s="33"/>
      <c r="I129" s="35"/>
      <c r="J129" s="36" t="str">
        <f aca="false">IF(OR(G129="",I129=""),"",G129*I129)</f>
        <v/>
      </c>
      <c r="K129" s="33"/>
      <c r="L129" s="34"/>
      <c r="M129" s="33"/>
      <c r="N129" s="32"/>
      <c r="O129" s="33"/>
      <c r="P129" s="37" t="str">
        <f aca="true">IF(E129="","",IFERROR(INDEX(CatLife,MATCH(E129,Cats,0)),""))</f>
        <v/>
      </c>
      <c r="Q129" s="36" t="str">
        <f aca="false">IF(OR(J129="",P129="",P129=0),IF(J129="","",0),J129/P129)</f>
        <v/>
      </c>
      <c r="R129" s="36" t="str">
        <f aca="false">IF(OR(Q129="",L129=""),"",MIN(J129,Q129*MAX(0,CurYear-L129)))</f>
        <v/>
      </c>
      <c r="S129" s="36" t="str">
        <f aca="false">IF(R129="",IF(J129="","",J129),J129-R129)</f>
        <v/>
      </c>
      <c r="T129" s="32"/>
    </row>
    <row r="130" customFormat="false" ht="15" hidden="false" customHeight="false" outlineLevel="0" collapsed="false">
      <c r="A130" s="31" t="str">
        <f aca="false">IF(C130="","",ROW()-9)</f>
        <v/>
      </c>
      <c r="B130" s="31" t="str">
        <f aca="true">IF(OR(C130="",F130=""),"","HH-"&amp;INDEX(DeptCodes,MATCH(F130,Depts,0))&amp;"-"&amp;TEXT(COUNTIF(F$10:F130,F130),"000"))</f>
        <v/>
      </c>
      <c r="C130" s="32"/>
      <c r="D130" s="32"/>
      <c r="E130" s="33"/>
      <c r="F130" s="33"/>
      <c r="G130" s="34"/>
      <c r="H130" s="33"/>
      <c r="I130" s="35"/>
      <c r="J130" s="36" t="str">
        <f aca="false">IF(OR(G130="",I130=""),"",G130*I130)</f>
        <v/>
      </c>
      <c r="K130" s="33"/>
      <c r="L130" s="34"/>
      <c r="M130" s="33"/>
      <c r="N130" s="32"/>
      <c r="O130" s="33"/>
      <c r="P130" s="37" t="str">
        <f aca="true">IF(E130="","",IFERROR(INDEX(CatLife,MATCH(E130,Cats,0)),""))</f>
        <v/>
      </c>
      <c r="Q130" s="36" t="str">
        <f aca="false">IF(OR(J130="",P130="",P130=0),IF(J130="","",0),J130/P130)</f>
        <v/>
      </c>
      <c r="R130" s="36" t="str">
        <f aca="false">IF(OR(Q130="",L130=""),"",MIN(J130,Q130*MAX(0,CurYear-L130)))</f>
        <v/>
      </c>
      <c r="S130" s="36" t="str">
        <f aca="false">IF(R130="",IF(J130="","",J130),J130-R130)</f>
        <v/>
      </c>
      <c r="T130" s="32"/>
    </row>
    <row r="131" customFormat="false" ht="15" hidden="false" customHeight="false" outlineLevel="0" collapsed="false">
      <c r="A131" s="31" t="str">
        <f aca="false">IF(C131="","",ROW()-9)</f>
        <v/>
      </c>
      <c r="B131" s="31" t="str">
        <f aca="true">IF(OR(C131="",F131=""),"","HH-"&amp;INDEX(DeptCodes,MATCH(F131,Depts,0))&amp;"-"&amp;TEXT(COUNTIF(F$10:F131,F131),"000"))</f>
        <v/>
      </c>
      <c r="C131" s="32"/>
      <c r="D131" s="32"/>
      <c r="E131" s="33"/>
      <c r="F131" s="33"/>
      <c r="G131" s="34"/>
      <c r="H131" s="33"/>
      <c r="I131" s="35"/>
      <c r="J131" s="36" t="str">
        <f aca="false">IF(OR(G131="",I131=""),"",G131*I131)</f>
        <v/>
      </c>
      <c r="K131" s="33"/>
      <c r="L131" s="34"/>
      <c r="M131" s="33"/>
      <c r="N131" s="32"/>
      <c r="O131" s="33"/>
      <c r="P131" s="37" t="str">
        <f aca="true">IF(E131="","",IFERROR(INDEX(CatLife,MATCH(E131,Cats,0)),""))</f>
        <v/>
      </c>
      <c r="Q131" s="36" t="str">
        <f aca="false">IF(OR(J131="",P131="",P131=0),IF(J131="","",0),J131/P131)</f>
        <v/>
      </c>
      <c r="R131" s="36" t="str">
        <f aca="false">IF(OR(Q131="",L131=""),"",MIN(J131,Q131*MAX(0,CurYear-L131)))</f>
        <v/>
      </c>
      <c r="S131" s="36" t="str">
        <f aca="false">IF(R131="",IF(J131="","",J131),J131-R131)</f>
        <v/>
      </c>
      <c r="T131" s="32"/>
    </row>
    <row r="132" customFormat="false" ht="15" hidden="false" customHeight="false" outlineLevel="0" collapsed="false">
      <c r="A132" s="31" t="str">
        <f aca="false">IF(C132="","",ROW()-9)</f>
        <v/>
      </c>
      <c r="B132" s="31" t="str">
        <f aca="true">IF(OR(C132="",F132=""),"","HH-"&amp;INDEX(DeptCodes,MATCH(F132,Depts,0))&amp;"-"&amp;TEXT(COUNTIF(F$10:F132,F132),"000"))</f>
        <v/>
      </c>
      <c r="C132" s="32"/>
      <c r="D132" s="32"/>
      <c r="E132" s="33"/>
      <c r="F132" s="33"/>
      <c r="G132" s="34"/>
      <c r="H132" s="33"/>
      <c r="I132" s="35"/>
      <c r="J132" s="36" t="str">
        <f aca="false">IF(OR(G132="",I132=""),"",G132*I132)</f>
        <v/>
      </c>
      <c r="K132" s="33"/>
      <c r="L132" s="34"/>
      <c r="M132" s="33"/>
      <c r="N132" s="32"/>
      <c r="O132" s="33"/>
      <c r="P132" s="37" t="str">
        <f aca="true">IF(E132="","",IFERROR(INDEX(CatLife,MATCH(E132,Cats,0)),""))</f>
        <v/>
      </c>
      <c r="Q132" s="36" t="str">
        <f aca="false">IF(OR(J132="",P132="",P132=0),IF(J132="","",0),J132/P132)</f>
        <v/>
      </c>
      <c r="R132" s="36" t="str">
        <f aca="false">IF(OR(Q132="",L132=""),"",MIN(J132,Q132*MAX(0,CurYear-L132)))</f>
        <v/>
      </c>
      <c r="S132" s="36" t="str">
        <f aca="false">IF(R132="",IF(J132="","",J132),J132-R132)</f>
        <v/>
      </c>
      <c r="T132" s="32"/>
    </row>
    <row r="133" customFormat="false" ht="15" hidden="false" customHeight="false" outlineLevel="0" collapsed="false">
      <c r="A133" s="31" t="str">
        <f aca="false">IF(C133="","",ROW()-9)</f>
        <v/>
      </c>
      <c r="B133" s="31" t="str">
        <f aca="true">IF(OR(C133="",F133=""),"","HH-"&amp;INDEX(DeptCodes,MATCH(F133,Depts,0))&amp;"-"&amp;TEXT(COUNTIF(F$10:F133,F133),"000"))</f>
        <v/>
      </c>
      <c r="C133" s="32"/>
      <c r="D133" s="32"/>
      <c r="E133" s="33"/>
      <c r="F133" s="33"/>
      <c r="G133" s="34"/>
      <c r="H133" s="33"/>
      <c r="I133" s="35"/>
      <c r="J133" s="36" t="str">
        <f aca="false">IF(OR(G133="",I133=""),"",G133*I133)</f>
        <v/>
      </c>
      <c r="K133" s="33"/>
      <c r="L133" s="34"/>
      <c r="M133" s="33"/>
      <c r="N133" s="32"/>
      <c r="O133" s="33"/>
      <c r="P133" s="37" t="str">
        <f aca="true">IF(E133="","",IFERROR(INDEX(CatLife,MATCH(E133,Cats,0)),""))</f>
        <v/>
      </c>
      <c r="Q133" s="36" t="str">
        <f aca="false">IF(OR(J133="",P133="",P133=0),IF(J133="","",0),J133/P133)</f>
        <v/>
      </c>
      <c r="R133" s="36" t="str">
        <f aca="false">IF(OR(Q133="",L133=""),"",MIN(J133,Q133*MAX(0,CurYear-L133)))</f>
        <v/>
      </c>
      <c r="S133" s="36" t="str">
        <f aca="false">IF(R133="",IF(J133="","",J133),J133-R133)</f>
        <v/>
      </c>
      <c r="T133" s="32"/>
    </row>
    <row r="134" customFormat="false" ht="15" hidden="false" customHeight="false" outlineLevel="0" collapsed="false">
      <c r="A134" s="31" t="str">
        <f aca="false">IF(C134="","",ROW()-9)</f>
        <v/>
      </c>
      <c r="B134" s="31" t="str">
        <f aca="true">IF(OR(C134="",F134=""),"","HH-"&amp;INDEX(DeptCodes,MATCH(F134,Depts,0))&amp;"-"&amp;TEXT(COUNTIF(F$10:F134,F134),"000"))</f>
        <v/>
      </c>
      <c r="C134" s="32"/>
      <c r="D134" s="32"/>
      <c r="E134" s="33"/>
      <c r="F134" s="33"/>
      <c r="G134" s="34"/>
      <c r="H134" s="33"/>
      <c r="I134" s="35"/>
      <c r="J134" s="36" t="str">
        <f aca="false">IF(OR(G134="",I134=""),"",G134*I134)</f>
        <v/>
      </c>
      <c r="K134" s="33"/>
      <c r="L134" s="34"/>
      <c r="M134" s="33"/>
      <c r="N134" s="32"/>
      <c r="O134" s="33"/>
      <c r="P134" s="37" t="str">
        <f aca="true">IF(E134="","",IFERROR(INDEX(CatLife,MATCH(E134,Cats,0)),""))</f>
        <v/>
      </c>
      <c r="Q134" s="36" t="str">
        <f aca="false">IF(OR(J134="",P134="",P134=0),IF(J134="","",0),J134/P134)</f>
        <v/>
      </c>
      <c r="R134" s="36" t="str">
        <f aca="false">IF(OR(Q134="",L134=""),"",MIN(J134,Q134*MAX(0,CurYear-L134)))</f>
        <v/>
      </c>
      <c r="S134" s="36" t="str">
        <f aca="false">IF(R134="",IF(J134="","",J134),J134-R134)</f>
        <v/>
      </c>
      <c r="T134" s="32"/>
    </row>
    <row r="135" customFormat="false" ht="15" hidden="false" customHeight="false" outlineLevel="0" collapsed="false">
      <c r="A135" s="31" t="str">
        <f aca="false">IF(C135="","",ROW()-9)</f>
        <v/>
      </c>
      <c r="B135" s="31" t="str">
        <f aca="true">IF(OR(C135="",F135=""),"","HH-"&amp;INDEX(DeptCodes,MATCH(F135,Depts,0))&amp;"-"&amp;TEXT(COUNTIF(F$10:F135,F135),"000"))</f>
        <v/>
      </c>
      <c r="C135" s="32"/>
      <c r="D135" s="32"/>
      <c r="E135" s="33"/>
      <c r="F135" s="33"/>
      <c r="G135" s="34"/>
      <c r="H135" s="33"/>
      <c r="I135" s="35"/>
      <c r="J135" s="36" t="str">
        <f aca="false">IF(OR(G135="",I135=""),"",G135*I135)</f>
        <v/>
      </c>
      <c r="K135" s="33"/>
      <c r="L135" s="34"/>
      <c r="M135" s="33"/>
      <c r="N135" s="32"/>
      <c r="O135" s="33"/>
      <c r="P135" s="37" t="str">
        <f aca="true">IF(E135="","",IFERROR(INDEX(CatLife,MATCH(E135,Cats,0)),""))</f>
        <v/>
      </c>
      <c r="Q135" s="36" t="str">
        <f aca="false">IF(OR(J135="",P135="",P135=0),IF(J135="","",0),J135/P135)</f>
        <v/>
      </c>
      <c r="R135" s="36" t="str">
        <f aca="false">IF(OR(Q135="",L135=""),"",MIN(J135,Q135*MAX(0,CurYear-L135)))</f>
        <v/>
      </c>
      <c r="S135" s="36" t="str">
        <f aca="false">IF(R135="",IF(J135="","",J135),J135-R135)</f>
        <v/>
      </c>
      <c r="T135" s="32"/>
    </row>
    <row r="136" customFormat="false" ht="15" hidden="false" customHeight="false" outlineLevel="0" collapsed="false">
      <c r="A136" s="31" t="str">
        <f aca="false">IF(C136="","",ROW()-9)</f>
        <v/>
      </c>
      <c r="B136" s="31" t="str">
        <f aca="true">IF(OR(C136="",F136=""),"","HH-"&amp;INDEX(DeptCodes,MATCH(F136,Depts,0))&amp;"-"&amp;TEXT(COUNTIF(F$10:F136,F136),"000"))</f>
        <v/>
      </c>
      <c r="C136" s="32"/>
      <c r="D136" s="32"/>
      <c r="E136" s="33"/>
      <c r="F136" s="33"/>
      <c r="G136" s="34"/>
      <c r="H136" s="33"/>
      <c r="I136" s="35"/>
      <c r="J136" s="36" t="str">
        <f aca="false">IF(OR(G136="",I136=""),"",G136*I136)</f>
        <v/>
      </c>
      <c r="K136" s="33"/>
      <c r="L136" s="34"/>
      <c r="M136" s="33"/>
      <c r="N136" s="32"/>
      <c r="O136" s="33"/>
      <c r="P136" s="37" t="str">
        <f aca="true">IF(E136="","",IFERROR(INDEX(CatLife,MATCH(E136,Cats,0)),""))</f>
        <v/>
      </c>
      <c r="Q136" s="36" t="str">
        <f aca="false">IF(OR(J136="",P136="",P136=0),IF(J136="","",0),J136/P136)</f>
        <v/>
      </c>
      <c r="R136" s="36" t="str">
        <f aca="false">IF(OR(Q136="",L136=""),"",MIN(J136,Q136*MAX(0,CurYear-L136)))</f>
        <v/>
      </c>
      <c r="S136" s="36" t="str">
        <f aca="false">IF(R136="",IF(J136="","",J136),J136-R136)</f>
        <v/>
      </c>
      <c r="T136" s="32"/>
    </row>
    <row r="137" customFormat="false" ht="15" hidden="false" customHeight="false" outlineLevel="0" collapsed="false">
      <c r="A137" s="31" t="str">
        <f aca="false">IF(C137="","",ROW()-9)</f>
        <v/>
      </c>
      <c r="B137" s="31" t="str">
        <f aca="true">IF(OR(C137="",F137=""),"","HH-"&amp;INDEX(DeptCodes,MATCH(F137,Depts,0))&amp;"-"&amp;TEXT(COUNTIF(F$10:F137,F137),"000"))</f>
        <v/>
      </c>
      <c r="C137" s="32"/>
      <c r="D137" s="32"/>
      <c r="E137" s="33"/>
      <c r="F137" s="33"/>
      <c r="G137" s="34"/>
      <c r="H137" s="33"/>
      <c r="I137" s="35"/>
      <c r="J137" s="36" t="str">
        <f aca="false">IF(OR(G137="",I137=""),"",G137*I137)</f>
        <v/>
      </c>
      <c r="K137" s="33"/>
      <c r="L137" s="34"/>
      <c r="M137" s="33"/>
      <c r="N137" s="32"/>
      <c r="O137" s="33"/>
      <c r="P137" s="37" t="str">
        <f aca="true">IF(E137="","",IFERROR(INDEX(CatLife,MATCH(E137,Cats,0)),""))</f>
        <v/>
      </c>
      <c r="Q137" s="36" t="str">
        <f aca="false">IF(OR(J137="",P137="",P137=0),IF(J137="","",0),J137/P137)</f>
        <v/>
      </c>
      <c r="R137" s="36" t="str">
        <f aca="false">IF(OR(Q137="",L137=""),"",MIN(J137,Q137*MAX(0,CurYear-L137)))</f>
        <v/>
      </c>
      <c r="S137" s="36" t="str">
        <f aca="false">IF(R137="",IF(J137="","",J137),J137-R137)</f>
        <v/>
      </c>
      <c r="T137" s="32"/>
    </row>
    <row r="138" customFormat="false" ht="15" hidden="false" customHeight="false" outlineLevel="0" collapsed="false">
      <c r="A138" s="31" t="str">
        <f aca="false">IF(C138="","",ROW()-9)</f>
        <v/>
      </c>
      <c r="B138" s="31" t="str">
        <f aca="true">IF(OR(C138="",F138=""),"","HH-"&amp;INDEX(DeptCodes,MATCH(F138,Depts,0))&amp;"-"&amp;TEXT(COUNTIF(F$10:F138,F138),"000"))</f>
        <v/>
      </c>
      <c r="C138" s="32"/>
      <c r="D138" s="32"/>
      <c r="E138" s="33"/>
      <c r="F138" s="33"/>
      <c r="G138" s="34"/>
      <c r="H138" s="33"/>
      <c r="I138" s="35"/>
      <c r="J138" s="36" t="str">
        <f aca="false">IF(OR(G138="",I138=""),"",G138*I138)</f>
        <v/>
      </c>
      <c r="K138" s="33"/>
      <c r="L138" s="34"/>
      <c r="M138" s="33"/>
      <c r="N138" s="32"/>
      <c r="O138" s="33"/>
      <c r="P138" s="37" t="str">
        <f aca="true">IF(E138="","",IFERROR(INDEX(CatLife,MATCH(E138,Cats,0)),""))</f>
        <v/>
      </c>
      <c r="Q138" s="36" t="str">
        <f aca="false">IF(OR(J138="",P138="",P138=0),IF(J138="","",0),J138/P138)</f>
        <v/>
      </c>
      <c r="R138" s="36" t="str">
        <f aca="false">IF(OR(Q138="",L138=""),"",MIN(J138,Q138*MAX(0,CurYear-L138)))</f>
        <v/>
      </c>
      <c r="S138" s="36" t="str">
        <f aca="false">IF(R138="",IF(J138="","",J138),J138-R138)</f>
        <v/>
      </c>
      <c r="T138" s="32"/>
    </row>
    <row r="139" customFormat="false" ht="15" hidden="false" customHeight="false" outlineLevel="0" collapsed="false">
      <c r="A139" s="31" t="str">
        <f aca="false">IF(C139="","",ROW()-9)</f>
        <v/>
      </c>
      <c r="B139" s="31" t="str">
        <f aca="true">IF(OR(C139="",F139=""),"","HH-"&amp;INDEX(DeptCodes,MATCH(F139,Depts,0))&amp;"-"&amp;TEXT(COUNTIF(F$10:F139,F139),"000"))</f>
        <v/>
      </c>
      <c r="C139" s="32"/>
      <c r="D139" s="32"/>
      <c r="E139" s="33"/>
      <c r="F139" s="33"/>
      <c r="G139" s="34"/>
      <c r="H139" s="33"/>
      <c r="I139" s="35"/>
      <c r="J139" s="36" t="str">
        <f aca="false">IF(OR(G139="",I139=""),"",G139*I139)</f>
        <v/>
      </c>
      <c r="K139" s="33"/>
      <c r="L139" s="34"/>
      <c r="M139" s="33"/>
      <c r="N139" s="32"/>
      <c r="O139" s="33"/>
      <c r="P139" s="37" t="str">
        <f aca="true">IF(E139="","",IFERROR(INDEX(CatLife,MATCH(E139,Cats,0)),""))</f>
        <v/>
      </c>
      <c r="Q139" s="36" t="str">
        <f aca="false">IF(OR(J139="",P139="",P139=0),IF(J139="","",0),J139/P139)</f>
        <v/>
      </c>
      <c r="R139" s="36" t="str">
        <f aca="false">IF(OR(Q139="",L139=""),"",MIN(J139,Q139*MAX(0,CurYear-L139)))</f>
        <v/>
      </c>
      <c r="S139" s="36" t="str">
        <f aca="false">IF(R139="",IF(J139="","",J139),J139-R139)</f>
        <v/>
      </c>
      <c r="T139" s="32"/>
    </row>
    <row r="140" customFormat="false" ht="15" hidden="false" customHeight="false" outlineLevel="0" collapsed="false">
      <c r="A140" s="31" t="str">
        <f aca="false">IF(C140="","",ROW()-9)</f>
        <v/>
      </c>
      <c r="B140" s="31" t="str">
        <f aca="true">IF(OR(C140="",F140=""),"","HH-"&amp;INDEX(DeptCodes,MATCH(F140,Depts,0))&amp;"-"&amp;TEXT(COUNTIF(F$10:F140,F140),"000"))</f>
        <v/>
      </c>
      <c r="C140" s="32"/>
      <c r="D140" s="32"/>
      <c r="E140" s="33"/>
      <c r="F140" s="33"/>
      <c r="G140" s="34"/>
      <c r="H140" s="33"/>
      <c r="I140" s="35"/>
      <c r="J140" s="36" t="str">
        <f aca="false">IF(OR(G140="",I140=""),"",G140*I140)</f>
        <v/>
      </c>
      <c r="K140" s="33"/>
      <c r="L140" s="34"/>
      <c r="M140" s="33"/>
      <c r="N140" s="32"/>
      <c r="O140" s="33"/>
      <c r="P140" s="37" t="str">
        <f aca="true">IF(E140="","",IFERROR(INDEX(CatLife,MATCH(E140,Cats,0)),""))</f>
        <v/>
      </c>
      <c r="Q140" s="36" t="str">
        <f aca="false">IF(OR(J140="",P140="",P140=0),IF(J140="","",0),J140/P140)</f>
        <v/>
      </c>
      <c r="R140" s="36" t="str">
        <f aca="false">IF(OR(Q140="",L140=""),"",MIN(J140,Q140*MAX(0,CurYear-L140)))</f>
        <v/>
      </c>
      <c r="S140" s="36" t="str">
        <f aca="false">IF(R140="",IF(J140="","",J140),J140-R140)</f>
        <v/>
      </c>
      <c r="T140" s="32"/>
    </row>
    <row r="141" customFormat="false" ht="15" hidden="false" customHeight="false" outlineLevel="0" collapsed="false">
      <c r="A141" s="31" t="str">
        <f aca="false">IF(C141="","",ROW()-9)</f>
        <v/>
      </c>
      <c r="B141" s="31" t="str">
        <f aca="true">IF(OR(C141="",F141=""),"","HH-"&amp;INDEX(DeptCodes,MATCH(F141,Depts,0))&amp;"-"&amp;TEXT(COUNTIF(F$10:F141,F141),"000"))</f>
        <v/>
      </c>
      <c r="C141" s="32"/>
      <c r="D141" s="32"/>
      <c r="E141" s="33"/>
      <c r="F141" s="33"/>
      <c r="G141" s="34"/>
      <c r="H141" s="33"/>
      <c r="I141" s="35"/>
      <c r="J141" s="36" t="str">
        <f aca="false">IF(OR(G141="",I141=""),"",G141*I141)</f>
        <v/>
      </c>
      <c r="K141" s="33"/>
      <c r="L141" s="34"/>
      <c r="M141" s="33"/>
      <c r="N141" s="32"/>
      <c r="O141" s="33"/>
      <c r="P141" s="37" t="str">
        <f aca="true">IF(E141="","",IFERROR(INDEX(CatLife,MATCH(E141,Cats,0)),""))</f>
        <v/>
      </c>
      <c r="Q141" s="36" t="str">
        <f aca="false">IF(OR(J141="",P141="",P141=0),IF(J141="","",0),J141/P141)</f>
        <v/>
      </c>
      <c r="R141" s="36" t="str">
        <f aca="false">IF(OR(Q141="",L141=""),"",MIN(J141,Q141*MAX(0,CurYear-L141)))</f>
        <v/>
      </c>
      <c r="S141" s="36" t="str">
        <f aca="false">IF(R141="",IF(J141="","",J141),J141-R141)</f>
        <v/>
      </c>
      <c r="T141" s="32"/>
    </row>
    <row r="142" customFormat="false" ht="15" hidden="false" customHeight="false" outlineLevel="0" collapsed="false">
      <c r="A142" s="31" t="str">
        <f aca="false">IF(C142="","",ROW()-9)</f>
        <v/>
      </c>
      <c r="B142" s="31" t="str">
        <f aca="true">IF(OR(C142="",F142=""),"","HH-"&amp;INDEX(DeptCodes,MATCH(F142,Depts,0))&amp;"-"&amp;TEXT(COUNTIF(F$10:F142,F142),"000"))</f>
        <v/>
      </c>
      <c r="C142" s="32"/>
      <c r="D142" s="32"/>
      <c r="E142" s="33"/>
      <c r="F142" s="33"/>
      <c r="G142" s="34"/>
      <c r="H142" s="33"/>
      <c r="I142" s="35"/>
      <c r="J142" s="36" t="str">
        <f aca="false">IF(OR(G142="",I142=""),"",G142*I142)</f>
        <v/>
      </c>
      <c r="K142" s="33"/>
      <c r="L142" s="34"/>
      <c r="M142" s="33"/>
      <c r="N142" s="32"/>
      <c r="O142" s="33"/>
      <c r="P142" s="37" t="str">
        <f aca="true">IF(E142="","",IFERROR(INDEX(CatLife,MATCH(E142,Cats,0)),""))</f>
        <v/>
      </c>
      <c r="Q142" s="36" t="str">
        <f aca="false">IF(OR(J142="",P142="",P142=0),IF(J142="","",0),J142/P142)</f>
        <v/>
      </c>
      <c r="R142" s="36" t="str">
        <f aca="false">IF(OR(Q142="",L142=""),"",MIN(J142,Q142*MAX(0,CurYear-L142)))</f>
        <v/>
      </c>
      <c r="S142" s="36" t="str">
        <f aca="false">IF(R142="",IF(J142="","",J142),J142-R142)</f>
        <v/>
      </c>
      <c r="T142" s="32"/>
    </row>
    <row r="143" customFormat="false" ht="15" hidden="false" customHeight="false" outlineLevel="0" collapsed="false">
      <c r="A143" s="31" t="str">
        <f aca="false">IF(C143="","",ROW()-9)</f>
        <v/>
      </c>
      <c r="B143" s="31" t="str">
        <f aca="true">IF(OR(C143="",F143=""),"","HH-"&amp;INDEX(DeptCodes,MATCH(F143,Depts,0))&amp;"-"&amp;TEXT(COUNTIF(F$10:F143,F143),"000"))</f>
        <v/>
      </c>
      <c r="C143" s="32"/>
      <c r="D143" s="32"/>
      <c r="E143" s="33"/>
      <c r="F143" s="33"/>
      <c r="G143" s="34"/>
      <c r="H143" s="33"/>
      <c r="I143" s="35"/>
      <c r="J143" s="36" t="str">
        <f aca="false">IF(OR(G143="",I143=""),"",G143*I143)</f>
        <v/>
      </c>
      <c r="K143" s="33"/>
      <c r="L143" s="34"/>
      <c r="M143" s="33"/>
      <c r="N143" s="32"/>
      <c r="O143" s="33"/>
      <c r="P143" s="37" t="str">
        <f aca="true">IF(E143="","",IFERROR(INDEX(CatLife,MATCH(E143,Cats,0)),""))</f>
        <v/>
      </c>
      <c r="Q143" s="36" t="str">
        <f aca="false">IF(OR(J143="",P143="",P143=0),IF(J143="","",0),J143/P143)</f>
        <v/>
      </c>
      <c r="R143" s="36" t="str">
        <f aca="false">IF(OR(Q143="",L143=""),"",MIN(J143,Q143*MAX(0,CurYear-L143)))</f>
        <v/>
      </c>
      <c r="S143" s="36" t="str">
        <f aca="false">IF(R143="",IF(J143="","",J143),J143-R143)</f>
        <v/>
      </c>
      <c r="T143" s="32"/>
    </row>
    <row r="144" customFormat="false" ht="15" hidden="false" customHeight="false" outlineLevel="0" collapsed="false">
      <c r="A144" s="31" t="str">
        <f aca="false">IF(C144="","",ROW()-9)</f>
        <v/>
      </c>
      <c r="B144" s="31" t="str">
        <f aca="true">IF(OR(C144="",F144=""),"","HH-"&amp;INDEX(DeptCodes,MATCH(F144,Depts,0))&amp;"-"&amp;TEXT(COUNTIF(F$10:F144,F144),"000"))</f>
        <v/>
      </c>
      <c r="C144" s="32"/>
      <c r="D144" s="32"/>
      <c r="E144" s="33"/>
      <c r="F144" s="33"/>
      <c r="G144" s="34"/>
      <c r="H144" s="33"/>
      <c r="I144" s="35"/>
      <c r="J144" s="36" t="str">
        <f aca="false">IF(OR(G144="",I144=""),"",G144*I144)</f>
        <v/>
      </c>
      <c r="K144" s="33"/>
      <c r="L144" s="34"/>
      <c r="M144" s="33"/>
      <c r="N144" s="32"/>
      <c r="O144" s="33"/>
      <c r="P144" s="37" t="str">
        <f aca="true">IF(E144="","",IFERROR(INDEX(CatLife,MATCH(E144,Cats,0)),""))</f>
        <v/>
      </c>
      <c r="Q144" s="36" t="str">
        <f aca="false">IF(OR(J144="",P144="",P144=0),IF(J144="","",0),J144/P144)</f>
        <v/>
      </c>
      <c r="R144" s="36" t="str">
        <f aca="false">IF(OR(Q144="",L144=""),"",MIN(J144,Q144*MAX(0,CurYear-L144)))</f>
        <v/>
      </c>
      <c r="S144" s="36" t="str">
        <f aca="false">IF(R144="",IF(J144="","",J144),J144-R144)</f>
        <v/>
      </c>
      <c r="T144" s="32"/>
    </row>
    <row r="145" customFormat="false" ht="15" hidden="false" customHeight="false" outlineLevel="0" collapsed="false">
      <c r="A145" s="31" t="str">
        <f aca="false">IF(C145="","",ROW()-9)</f>
        <v/>
      </c>
      <c r="B145" s="31" t="str">
        <f aca="true">IF(OR(C145="",F145=""),"","HH-"&amp;INDEX(DeptCodes,MATCH(F145,Depts,0))&amp;"-"&amp;TEXT(COUNTIF(F$10:F145,F145),"000"))</f>
        <v/>
      </c>
      <c r="C145" s="32"/>
      <c r="D145" s="32"/>
      <c r="E145" s="33"/>
      <c r="F145" s="33"/>
      <c r="G145" s="34"/>
      <c r="H145" s="33"/>
      <c r="I145" s="35"/>
      <c r="J145" s="36" t="str">
        <f aca="false">IF(OR(G145="",I145=""),"",G145*I145)</f>
        <v/>
      </c>
      <c r="K145" s="33"/>
      <c r="L145" s="34"/>
      <c r="M145" s="33"/>
      <c r="N145" s="32"/>
      <c r="O145" s="33"/>
      <c r="P145" s="37" t="str">
        <f aca="true">IF(E145="","",IFERROR(INDEX(CatLife,MATCH(E145,Cats,0)),""))</f>
        <v/>
      </c>
      <c r="Q145" s="36" t="str">
        <f aca="false">IF(OR(J145="",P145="",P145=0),IF(J145="","",0),J145/P145)</f>
        <v/>
      </c>
      <c r="R145" s="36" t="str">
        <f aca="false">IF(OR(Q145="",L145=""),"",MIN(J145,Q145*MAX(0,CurYear-L145)))</f>
        <v/>
      </c>
      <c r="S145" s="36" t="str">
        <f aca="false">IF(R145="",IF(J145="","",J145),J145-R145)</f>
        <v/>
      </c>
      <c r="T145" s="32"/>
    </row>
    <row r="146" customFormat="false" ht="15" hidden="false" customHeight="false" outlineLevel="0" collapsed="false">
      <c r="A146" s="31" t="str">
        <f aca="false">IF(C146="","",ROW()-9)</f>
        <v/>
      </c>
      <c r="B146" s="31" t="str">
        <f aca="true">IF(OR(C146="",F146=""),"","HH-"&amp;INDEX(DeptCodes,MATCH(F146,Depts,0))&amp;"-"&amp;TEXT(COUNTIF(F$10:F146,F146),"000"))</f>
        <v/>
      </c>
      <c r="C146" s="32"/>
      <c r="D146" s="32"/>
      <c r="E146" s="33"/>
      <c r="F146" s="33"/>
      <c r="G146" s="34"/>
      <c r="H146" s="33"/>
      <c r="I146" s="35"/>
      <c r="J146" s="36" t="str">
        <f aca="false">IF(OR(G146="",I146=""),"",G146*I146)</f>
        <v/>
      </c>
      <c r="K146" s="33"/>
      <c r="L146" s="34"/>
      <c r="M146" s="33"/>
      <c r="N146" s="32"/>
      <c r="O146" s="33"/>
      <c r="P146" s="37" t="str">
        <f aca="true">IF(E146="","",IFERROR(INDEX(CatLife,MATCH(E146,Cats,0)),""))</f>
        <v/>
      </c>
      <c r="Q146" s="36" t="str">
        <f aca="false">IF(OR(J146="",P146="",P146=0),IF(J146="","",0),J146/P146)</f>
        <v/>
      </c>
      <c r="R146" s="36" t="str">
        <f aca="false">IF(OR(Q146="",L146=""),"",MIN(J146,Q146*MAX(0,CurYear-L146)))</f>
        <v/>
      </c>
      <c r="S146" s="36" t="str">
        <f aca="false">IF(R146="",IF(J146="","",J146),J146-R146)</f>
        <v/>
      </c>
      <c r="T146" s="32"/>
    </row>
    <row r="147" customFormat="false" ht="15" hidden="false" customHeight="false" outlineLevel="0" collapsed="false">
      <c r="A147" s="31" t="str">
        <f aca="false">IF(C147="","",ROW()-9)</f>
        <v/>
      </c>
      <c r="B147" s="31" t="str">
        <f aca="true">IF(OR(C147="",F147=""),"","HH-"&amp;INDEX(DeptCodes,MATCH(F147,Depts,0))&amp;"-"&amp;TEXT(COUNTIF(F$10:F147,F147),"000"))</f>
        <v/>
      </c>
      <c r="C147" s="32"/>
      <c r="D147" s="32"/>
      <c r="E147" s="33"/>
      <c r="F147" s="33"/>
      <c r="G147" s="34"/>
      <c r="H147" s="33"/>
      <c r="I147" s="35"/>
      <c r="J147" s="36" t="str">
        <f aca="false">IF(OR(G147="",I147=""),"",G147*I147)</f>
        <v/>
      </c>
      <c r="K147" s="33"/>
      <c r="L147" s="34"/>
      <c r="M147" s="33"/>
      <c r="N147" s="32"/>
      <c r="O147" s="33"/>
      <c r="P147" s="37" t="str">
        <f aca="true">IF(E147="","",IFERROR(INDEX(CatLife,MATCH(E147,Cats,0)),""))</f>
        <v/>
      </c>
      <c r="Q147" s="36" t="str">
        <f aca="false">IF(OR(J147="",P147="",P147=0),IF(J147="","",0),J147/P147)</f>
        <v/>
      </c>
      <c r="R147" s="36" t="str">
        <f aca="false">IF(OR(Q147="",L147=""),"",MIN(J147,Q147*MAX(0,CurYear-L147)))</f>
        <v/>
      </c>
      <c r="S147" s="36" t="str">
        <f aca="false">IF(R147="",IF(J147="","",J147),J147-R147)</f>
        <v/>
      </c>
      <c r="T147" s="32"/>
    </row>
    <row r="148" customFormat="false" ht="15" hidden="false" customHeight="false" outlineLevel="0" collapsed="false">
      <c r="A148" s="31" t="str">
        <f aca="false">IF(C148="","",ROW()-9)</f>
        <v/>
      </c>
      <c r="B148" s="31" t="str">
        <f aca="true">IF(OR(C148="",F148=""),"","HH-"&amp;INDEX(DeptCodes,MATCH(F148,Depts,0))&amp;"-"&amp;TEXT(COUNTIF(F$10:F148,F148),"000"))</f>
        <v/>
      </c>
      <c r="C148" s="32"/>
      <c r="D148" s="32"/>
      <c r="E148" s="33"/>
      <c r="F148" s="33"/>
      <c r="G148" s="34"/>
      <c r="H148" s="33"/>
      <c r="I148" s="35"/>
      <c r="J148" s="36" t="str">
        <f aca="false">IF(OR(G148="",I148=""),"",G148*I148)</f>
        <v/>
      </c>
      <c r="K148" s="33"/>
      <c r="L148" s="34"/>
      <c r="M148" s="33"/>
      <c r="N148" s="32"/>
      <c r="O148" s="33"/>
      <c r="P148" s="37" t="str">
        <f aca="true">IF(E148="","",IFERROR(INDEX(CatLife,MATCH(E148,Cats,0)),""))</f>
        <v/>
      </c>
      <c r="Q148" s="36" t="str">
        <f aca="false">IF(OR(J148="",P148="",P148=0),IF(J148="","",0),J148/P148)</f>
        <v/>
      </c>
      <c r="R148" s="36" t="str">
        <f aca="false">IF(OR(Q148="",L148=""),"",MIN(J148,Q148*MAX(0,CurYear-L148)))</f>
        <v/>
      </c>
      <c r="S148" s="36" t="str">
        <f aca="false">IF(R148="",IF(J148="","",J148),J148-R148)</f>
        <v/>
      </c>
      <c r="T148" s="32"/>
    </row>
    <row r="149" customFormat="false" ht="15" hidden="false" customHeight="false" outlineLevel="0" collapsed="false">
      <c r="A149" s="31" t="str">
        <f aca="false">IF(C149="","",ROW()-9)</f>
        <v/>
      </c>
      <c r="B149" s="31" t="str">
        <f aca="true">IF(OR(C149="",F149=""),"","HH-"&amp;INDEX(DeptCodes,MATCH(F149,Depts,0))&amp;"-"&amp;TEXT(COUNTIF(F$10:F149,F149),"000"))</f>
        <v/>
      </c>
      <c r="C149" s="32"/>
      <c r="D149" s="32"/>
      <c r="E149" s="33"/>
      <c r="F149" s="33"/>
      <c r="G149" s="34"/>
      <c r="H149" s="33"/>
      <c r="I149" s="35"/>
      <c r="J149" s="36" t="str">
        <f aca="false">IF(OR(G149="",I149=""),"",G149*I149)</f>
        <v/>
      </c>
      <c r="K149" s="33"/>
      <c r="L149" s="34"/>
      <c r="M149" s="33"/>
      <c r="N149" s="32"/>
      <c r="O149" s="33"/>
      <c r="P149" s="37" t="str">
        <f aca="true">IF(E149="","",IFERROR(INDEX(CatLife,MATCH(E149,Cats,0)),""))</f>
        <v/>
      </c>
      <c r="Q149" s="36" t="str">
        <f aca="false">IF(OR(J149="",P149="",P149=0),IF(J149="","",0),J149/P149)</f>
        <v/>
      </c>
      <c r="R149" s="36" t="str">
        <f aca="false">IF(OR(Q149="",L149=""),"",MIN(J149,Q149*MAX(0,CurYear-L149)))</f>
        <v/>
      </c>
      <c r="S149" s="36" t="str">
        <f aca="false">IF(R149="",IF(J149="","",J149),J149-R149)</f>
        <v/>
      </c>
      <c r="T149" s="32"/>
    </row>
    <row r="150" customFormat="false" ht="15" hidden="false" customHeight="false" outlineLevel="0" collapsed="false">
      <c r="A150" s="31" t="str">
        <f aca="false">IF(C150="","",ROW()-9)</f>
        <v/>
      </c>
      <c r="B150" s="31" t="str">
        <f aca="true">IF(OR(C150="",F150=""),"","HH-"&amp;INDEX(DeptCodes,MATCH(F150,Depts,0))&amp;"-"&amp;TEXT(COUNTIF(F$10:F150,F150),"000"))</f>
        <v/>
      </c>
      <c r="C150" s="32"/>
      <c r="D150" s="32"/>
      <c r="E150" s="33"/>
      <c r="F150" s="33"/>
      <c r="G150" s="34"/>
      <c r="H150" s="33"/>
      <c r="I150" s="35"/>
      <c r="J150" s="36" t="str">
        <f aca="false">IF(OR(G150="",I150=""),"",G150*I150)</f>
        <v/>
      </c>
      <c r="K150" s="33"/>
      <c r="L150" s="34"/>
      <c r="M150" s="33"/>
      <c r="N150" s="32"/>
      <c r="O150" s="33"/>
      <c r="P150" s="37" t="str">
        <f aca="true">IF(E150="","",IFERROR(INDEX(CatLife,MATCH(E150,Cats,0)),""))</f>
        <v/>
      </c>
      <c r="Q150" s="36" t="str">
        <f aca="false">IF(OR(J150="",P150="",P150=0),IF(J150="","",0),J150/P150)</f>
        <v/>
      </c>
      <c r="R150" s="36" t="str">
        <f aca="false">IF(OR(Q150="",L150=""),"",MIN(J150,Q150*MAX(0,CurYear-L150)))</f>
        <v/>
      </c>
      <c r="S150" s="36" t="str">
        <f aca="false">IF(R150="",IF(J150="","",J150),J150-R150)</f>
        <v/>
      </c>
      <c r="T150" s="32"/>
    </row>
    <row r="151" customFormat="false" ht="15" hidden="false" customHeight="false" outlineLevel="0" collapsed="false">
      <c r="A151" s="31" t="str">
        <f aca="false">IF(C151="","",ROW()-9)</f>
        <v/>
      </c>
      <c r="B151" s="31" t="str">
        <f aca="true">IF(OR(C151="",F151=""),"","HH-"&amp;INDEX(DeptCodes,MATCH(F151,Depts,0))&amp;"-"&amp;TEXT(COUNTIF(F$10:F151,F151),"000"))</f>
        <v/>
      </c>
      <c r="C151" s="32"/>
      <c r="D151" s="32"/>
      <c r="E151" s="33"/>
      <c r="F151" s="33"/>
      <c r="G151" s="34"/>
      <c r="H151" s="33"/>
      <c r="I151" s="35"/>
      <c r="J151" s="36" t="str">
        <f aca="false">IF(OR(G151="",I151=""),"",G151*I151)</f>
        <v/>
      </c>
      <c r="K151" s="33"/>
      <c r="L151" s="34"/>
      <c r="M151" s="33"/>
      <c r="N151" s="32"/>
      <c r="O151" s="33"/>
      <c r="P151" s="37" t="str">
        <f aca="true">IF(E151="","",IFERROR(INDEX(CatLife,MATCH(E151,Cats,0)),""))</f>
        <v/>
      </c>
      <c r="Q151" s="36" t="str">
        <f aca="false">IF(OR(J151="",P151="",P151=0),IF(J151="","",0),J151/P151)</f>
        <v/>
      </c>
      <c r="R151" s="36" t="str">
        <f aca="false">IF(OR(Q151="",L151=""),"",MIN(J151,Q151*MAX(0,CurYear-L151)))</f>
        <v/>
      </c>
      <c r="S151" s="36" t="str">
        <f aca="false">IF(R151="",IF(J151="","",J151),J151-R151)</f>
        <v/>
      </c>
      <c r="T151" s="32"/>
    </row>
    <row r="152" customFormat="false" ht="15" hidden="false" customHeight="false" outlineLevel="0" collapsed="false">
      <c r="A152" s="31" t="str">
        <f aca="false">IF(C152="","",ROW()-9)</f>
        <v/>
      </c>
      <c r="B152" s="31" t="str">
        <f aca="true">IF(OR(C152="",F152=""),"","HH-"&amp;INDEX(DeptCodes,MATCH(F152,Depts,0))&amp;"-"&amp;TEXT(COUNTIF(F$10:F152,F152),"000"))</f>
        <v/>
      </c>
      <c r="C152" s="32"/>
      <c r="D152" s="32"/>
      <c r="E152" s="33"/>
      <c r="F152" s="33"/>
      <c r="G152" s="34"/>
      <c r="H152" s="33"/>
      <c r="I152" s="35"/>
      <c r="J152" s="36" t="str">
        <f aca="false">IF(OR(G152="",I152=""),"",G152*I152)</f>
        <v/>
      </c>
      <c r="K152" s="33"/>
      <c r="L152" s="34"/>
      <c r="M152" s="33"/>
      <c r="N152" s="32"/>
      <c r="O152" s="33"/>
      <c r="P152" s="37" t="str">
        <f aca="true">IF(E152="","",IFERROR(INDEX(CatLife,MATCH(E152,Cats,0)),""))</f>
        <v/>
      </c>
      <c r="Q152" s="36" t="str">
        <f aca="false">IF(OR(J152="",P152="",P152=0),IF(J152="","",0),J152/P152)</f>
        <v/>
      </c>
      <c r="R152" s="36" t="str">
        <f aca="false">IF(OR(Q152="",L152=""),"",MIN(J152,Q152*MAX(0,CurYear-L152)))</f>
        <v/>
      </c>
      <c r="S152" s="36" t="str">
        <f aca="false">IF(R152="",IF(J152="","",J152),J152-R152)</f>
        <v/>
      </c>
      <c r="T152" s="32"/>
    </row>
    <row r="153" customFormat="false" ht="15" hidden="false" customHeight="false" outlineLevel="0" collapsed="false">
      <c r="A153" s="31" t="str">
        <f aca="false">IF(C153="","",ROW()-9)</f>
        <v/>
      </c>
      <c r="B153" s="31" t="str">
        <f aca="true">IF(OR(C153="",F153=""),"","HH-"&amp;INDEX(DeptCodes,MATCH(F153,Depts,0))&amp;"-"&amp;TEXT(COUNTIF(F$10:F153,F153),"000"))</f>
        <v/>
      </c>
      <c r="C153" s="32"/>
      <c r="D153" s="32"/>
      <c r="E153" s="33"/>
      <c r="F153" s="33"/>
      <c r="G153" s="34"/>
      <c r="H153" s="33"/>
      <c r="I153" s="35"/>
      <c r="J153" s="36" t="str">
        <f aca="false">IF(OR(G153="",I153=""),"",G153*I153)</f>
        <v/>
      </c>
      <c r="K153" s="33"/>
      <c r="L153" s="34"/>
      <c r="M153" s="33"/>
      <c r="N153" s="32"/>
      <c r="O153" s="33"/>
      <c r="P153" s="37" t="str">
        <f aca="true">IF(E153="","",IFERROR(INDEX(CatLife,MATCH(E153,Cats,0)),""))</f>
        <v/>
      </c>
      <c r="Q153" s="36" t="str">
        <f aca="false">IF(OR(J153="",P153="",P153=0),IF(J153="","",0),J153/P153)</f>
        <v/>
      </c>
      <c r="R153" s="36" t="str">
        <f aca="false">IF(OR(Q153="",L153=""),"",MIN(J153,Q153*MAX(0,CurYear-L153)))</f>
        <v/>
      </c>
      <c r="S153" s="36" t="str">
        <f aca="false">IF(R153="",IF(J153="","",J153),J153-R153)</f>
        <v/>
      </c>
      <c r="T153" s="32"/>
    </row>
    <row r="154" customFormat="false" ht="15" hidden="false" customHeight="false" outlineLevel="0" collapsed="false">
      <c r="A154" s="31" t="str">
        <f aca="false">IF(C154="","",ROW()-9)</f>
        <v/>
      </c>
      <c r="B154" s="31" t="str">
        <f aca="true">IF(OR(C154="",F154=""),"","HH-"&amp;INDEX(DeptCodes,MATCH(F154,Depts,0))&amp;"-"&amp;TEXT(COUNTIF(F$10:F154,F154),"000"))</f>
        <v/>
      </c>
      <c r="C154" s="32"/>
      <c r="D154" s="32"/>
      <c r="E154" s="33"/>
      <c r="F154" s="33"/>
      <c r="G154" s="34"/>
      <c r="H154" s="33"/>
      <c r="I154" s="35"/>
      <c r="J154" s="36" t="str">
        <f aca="false">IF(OR(G154="",I154=""),"",G154*I154)</f>
        <v/>
      </c>
      <c r="K154" s="33"/>
      <c r="L154" s="34"/>
      <c r="M154" s="33"/>
      <c r="N154" s="32"/>
      <c r="O154" s="33"/>
      <c r="P154" s="37" t="str">
        <f aca="true">IF(E154="","",IFERROR(INDEX(CatLife,MATCH(E154,Cats,0)),""))</f>
        <v/>
      </c>
      <c r="Q154" s="36" t="str">
        <f aca="false">IF(OR(J154="",P154="",P154=0),IF(J154="","",0),J154/P154)</f>
        <v/>
      </c>
      <c r="R154" s="36" t="str">
        <f aca="false">IF(OR(Q154="",L154=""),"",MIN(J154,Q154*MAX(0,CurYear-L154)))</f>
        <v/>
      </c>
      <c r="S154" s="36" t="str">
        <f aca="false">IF(R154="",IF(J154="","",J154),J154-R154)</f>
        <v/>
      </c>
      <c r="T154" s="32"/>
    </row>
    <row r="155" customFormat="false" ht="15" hidden="false" customHeight="false" outlineLevel="0" collapsed="false">
      <c r="A155" s="31" t="str">
        <f aca="false">IF(C155="","",ROW()-9)</f>
        <v/>
      </c>
      <c r="B155" s="31" t="str">
        <f aca="true">IF(OR(C155="",F155=""),"","HH-"&amp;INDEX(DeptCodes,MATCH(F155,Depts,0))&amp;"-"&amp;TEXT(COUNTIF(F$10:F155,F155),"000"))</f>
        <v/>
      </c>
      <c r="C155" s="32"/>
      <c r="D155" s="32"/>
      <c r="E155" s="33"/>
      <c r="F155" s="33"/>
      <c r="G155" s="34"/>
      <c r="H155" s="33"/>
      <c r="I155" s="35"/>
      <c r="J155" s="36" t="str">
        <f aca="false">IF(OR(G155="",I155=""),"",G155*I155)</f>
        <v/>
      </c>
      <c r="K155" s="33"/>
      <c r="L155" s="34"/>
      <c r="M155" s="33"/>
      <c r="N155" s="32"/>
      <c r="O155" s="33"/>
      <c r="P155" s="37" t="str">
        <f aca="true">IF(E155="","",IFERROR(INDEX(CatLife,MATCH(E155,Cats,0)),""))</f>
        <v/>
      </c>
      <c r="Q155" s="36" t="str">
        <f aca="false">IF(OR(J155="",P155="",P155=0),IF(J155="","",0),J155/P155)</f>
        <v/>
      </c>
      <c r="R155" s="36" t="str">
        <f aca="false">IF(OR(Q155="",L155=""),"",MIN(J155,Q155*MAX(0,CurYear-L155)))</f>
        <v/>
      </c>
      <c r="S155" s="36" t="str">
        <f aca="false">IF(R155="",IF(J155="","",J155),J155-R155)</f>
        <v/>
      </c>
      <c r="T155" s="32"/>
    </row>
    <row r="156" customFormat="false" ht="15" hidden="false" customHeight="false" outlineLevel="0" collapsed="false">
      <c r="A156" s="31" t="str">
        <f aca="false">IF(C156="","",ROW()-9)</f>
        <v/>
      </c>
      <c r="B156" s="31" t="str">
        <f aca="true">IF(OR(C156="",F156=""),"","HH-"&amp;INDEX(DeptCodes,MATCH(F156,Depts,0))&amp;"-"&amp;TEXT(COUNTIF(F$10:F156,F156),"000"))</f>
        <v/>
      </c>
      <c r="C156" s="32"/>
      <c r="D156" s="32"/>
      <c r="E156" s="33"/>
      <c r="F156" s="33"/>
      <c r="G156" s="34"/>
      <c r="H156" s="33"/>
      <c r="I156" s="35"/>
      <c r="J156" s="36" t="str">
        <f aca="false">IF(OR(G156="",I156=""),"",G156*I156)</f>
        <v/>
      </c>
      <c r="K156" s="33"/>
      <c r="L156" s="34"/>
      <c r="M156" s="33"/>
      <c r="N156" s="32"/>
      <c r="O156" s="33"/>
      <c r="P156" s="37" t="str">
        <f aca="true">IF(E156="","",IFERROR(INDEX(CatLife,MATCH(E156,Cats,0)),""))</f>
        <v/>
      </c>
      <c r="Q156" s="36" t="str">
        <f aca="false">IF(OR(J156="",P156="",P156=0),IF(J156="","",0),J156/P156)</f>
        <v/>
      </c>
      <c r="R156" s="36" t="str">
        <f aca="false">IF(OR(Q156="",L156=""),"",MIN(J156,Q156*MAX(0,CurYear-L156)))</f>
        <v/>
      </c>
      <c r="S156" s="36" t="str">
        <f aca="false">IF(R156="",IF(J156="","",J156),J156-R156)</f>
        <v/>
      </c>
      <c r="T156" s="32"/>
    </row>
    <row r="157" customFormat="false" ht="15" hidden="false" customHeight="false" outlineLevel="0" collapsed="false">
      <c r="A157" s="31" t="str">
        <f aca="false">IF(C157="","",ROW()-9)</f>
        <v/>
      </c>
      <c r="B157" s="31" t="str">
        <f aca="true">IF(OR(C157="",F157=""),"","HH-"&amp;INDEX(DeptCodes,MATCH(F157,Depts,0))&amp;"-"&amp;TEXT(COUNTIF(F$10:F157,F157),"000"))</f>
        <v/>
      </c>
      <c r="C157" s="32"/>
      <c r="D157" s="32"/>
      <c r="E157" s="33"/>
      <c r="F157" s="33"/>
      <c r="G157" s="34"/>
      <c r="H157" s="33"/>
      <c r="I157" s="35"/>
      <c r="J157" s="36" t="str">
        <f aca="false">IF(OR(G157="",I157=""),"",G157*I157)</f>
        <v/>
      </c>
      <c r="K157" s="33"/>
      <c r="L157" s="34"/>
      <c r="M157" s="33"/>
      <c r="N157" s="32"/>
      <c r="O157" s="33"/>
      <c r="P157" s="37" t="str">
        <f aca="true">IF(E157="","",IFERROR(INDEX(CatLife,MATCH(E157,Cats,0)),""))</f>
        <v/>
      </c>
      <c r="Q157" s="36" t="str">
        <f aca="false">IF(OR(J157="",P157="",P157=0),IF(J157="","",0),J157/P157)</f>
        <v/>
      </c>
      <c r="R157" s="36" t="str">
        <f aca="false">IF(OR(Q157="",L157=""),"",MIN(J157,Q157*MAX(0,CurYear-L157)))</f>
        <v/>
      </c>
      <c r="S157" s="36" t="str">
        <f aca="false">IF(R157="",IF(J157="","",J157),J157-R157)</f>
        <v/>
      </c>
      <c r="T157" s="32"/>
    </row>
    <row r="158" customFormat="false" ht="15" hidden="false" customHeight="false" outlineLevel="0" collapsed="false">
      <c r="A158" s="31" t="str">
        <f aca="false">IF(C158="","",ROW()-9)</f>
        <v/>
      </c>
      <c r="B158" s="31" t="str">
        <f aca="true">IF(OR(C158="",F158=""),"","HH-"&amp;INDEX(DeptCodes,MATCH(F158,Depts,0))&amp;"-"&amp;TEXT(COUNTIF(F$10:F158,F158),"000"))</f>
        <v/>
      </c>
      <c r="C158" s="32"/>
      <c r="D158" s="32"/>
      <c r="E158" s="33"/>
      <c r="F158" s="33"/>
      <c r="G158" s="34"/>
      <c r="H158" s="33"/>
      <c r="I158" s="35"/>
      <c r="J158" s="36" t="str">
        <f aca="false">IF(OR(G158="",I158=""),"",G158*I158)</f>
        <v/>
      </c>
      <c r="K158" s="33"/>
      <c r="L158" s="34"/>
      <c r="M158" s="33"/>
      <c r="N158" s="32"/>
      <c r="O158" s="33"/>
      <c r="P158" s="37" t="str">
        <f aca="true">IF(E158="","",IFERROR(INDEX(CatLife,MATCH(E158,Cats,0)),""))</f>
        <v/>
      </c>
      <c r="Q158" s="36" t="str">
        <f aca="false">IF(OR(J158="",P158="",P158=0),IF(J158="","",0),J158/P158)</f>
        <v/>
      </c>
      <c r="R158" s="36" t="str">
        <f aca="false">IF(OR(Q158="",L158=""),"",MIN(J158,Q158*MAX(0,CurYear-L158)))</f>
        <v/>
      </c>
      <c r="S158" s="36" t="str">
        <f aca="false">IF(R158="",IF(J158="","",J158),J158-R158)</f>
        <v/>
      </c>
      <c r="T158" s="32"/>
    </row>
    <row r="159" customFormat="false" ht="15" hidden="false" customHeight="false" outlineLevel="0" collapsed="false">
      <c r="A159" s="31" t="str">
        <f aca="false">IF(C159="","",ROW()-9)</f>
        <v/>
      </c>
      <c r="B159" s="31" t="str">
        <f aca="true">IF(OR(C159="",F159=""),"","HH-"&amp;INDEX(DeptCodes,MATCH(F159,Depts,0))&amp;"-"&amp;TEXT(COUNTIF(F$10:F159,F159),"000"))</f>
        <v/>
      </c>
      <c r="C159" s="32"/>
      <c r="D159" s="32"/>
      <c r="E159" s="33"/>
      <c r="F159" s="33"/>
      <c r="G159" s="34"/>
      <c r="H159" s="33"/>
      <c r="I159" s="35"/>
      <c r="J159" s="36" t="str">
        <f aca="false">IF(OR(G159="",I159=""),"",G159*I159)</f>
        <v/>
      </c>
      <c r="K159" s="33"/>
      <c r="L159" s="34"/>
      <c r="M159" s="33"/>
      <c r="N159" s="32"/>
      <c r="O159" s="33"/>
      <c r="P159" s="37" t="str">
        <f aca="true">IF(E159="","",IFERROR(INDEX(CatLife,MATCH(E159,Cats,0)),""))</f>
        <v/>
      </c>
      <c r="Q159" s="36" t="str">
        <f aca="false">IF(OR(J159="",P159="",P159=0),IF(J159="","",0),J159/P159)</f>
        <v/>
      </c>
      <c r="R159" s="36" t="str">
        <f aca="false">IF(OR(Q159="",L159=""),"",MIN(J159,Q159*MAX(0,CurYear-L159)))</f>
        <v/>
      </c>
      <c r="S159" s="36" t="str">
        <f aca="false">IF(R159="",IF(J159="","",J159),J159-R159)</f>
        <v/>
      </c>
      <c r="T159" s="32"/>
    </row>
    <row r="160" customFormat="false" ht="15" hidden="false" customHeight="false" outlineLevel="0" collapsed="false">
      <c r="A160" s="31" t="str">
        <f aca="false">IF(C160="","",ROW()-9)</f>
        <v/>
      </c>
      <c r="B160" s="31" t="str">
        <f aca="true">IF(OR(C160="",F160=""),"","HH-"&amp;INDEX(DeptCodes,MATCH(F160,Depts,0))&amp;"-"&amp;TEXT(COUNTIF(F$10:F160,F160),"000"))</f>
        <v/>
      </c>
      <c r="C160" s="32"/>
      <c r="D160" s="32"/>
      <c r="E160" s="33"/>
      <c r="F160" s="33"/>
      <c r="G160" s="34"/>
      <c r="H160" s="33"/>
      <c r="I160" s="35"/>
      <c r="J160" s="36" t="str">
        <f aca="false">IF(OR(G160="",I160=""),"",G160*I160)</f>
        <v/>
      </c>
      <c r="K160" s="33"/>
      <c r="L160" s="34"/>
      <c r="M160" s="33"/>
      <c r="N160" s="32"/>
      <c r="O160" s="33"/>
      <c r="P160" s="37" t="str">
        <f aca="true">IF(E160="","",IFERROR(INDEX(CatLife,MATCH(E160,Cats,0)),""))</f>
        <v/>
      </c>
      <c r="Q160" s="36" t="str">
        <f aca="false">IF(OR(J160="",P160="",P160=0),IF(J160="","",0),J160/P160)</f>
        <v/>
      </c>
      <c r="R160" s="36" t="str">
        <f aca="false">IF(OR(Q160="",L160=""),"",MIN(J160,Q160*MAX(0,CurYear-L160)))</f>
        <v/>
      </c>
      <c r="S160" s="36" t="str">
        <f aca="false">IF(R160="",IF(J160="","",J160),J160-R160)</f>
        <v/>
      </c>
      <c r="T160" s="32"/>
    </row>
    <row r="161" customFormat="false" ht="15" hidden="false" customHeight="false" outlineLevel="0" collapsed="false">
      <c r="A161" s="31" t="str">
        <f aca="false">IF(C161="","",ROW()-9)</f>
        <v/>
      </c>
      <c r="B161" s="31" t="str">
        <f aca="true">IF(OR(C161="",F161=""),"","HH-"&amp;INDEX(DeptCodes,MATCH(F161,Depts,0))&amp;"-"&amp;TEXT(COUNTIF(F$10:F161,F161),"000"))</f>
        <v/>
      </c>
      <c r="C161" s="32"/>
      <c r="D161" s="32"/>
      <c r="E161" s="33"/>
      <c r="F161" s="33"/>
      <c r="G161" s="34"/>
      <c r="H161" s="33"/>
      <c r="I161" s="35"/>
      <c r="J161" s="36" t="str">
        <f aca="false">IF(OR(G161="",I161=""),"",G161*I161)</f>
        <v/>
      </c>
      <c r="K161" s="33"/>
      <c r="L161" s="34"/>
      <c r="M161" s="33"/>
      <c r="N161" s="32"/>
      <c r="O161" s="33"/>
      <c r="P161" s="37" t="str">
        <f aca="true">IF(E161="","",IFERROR(INDEX(CatLife,MATCH(E161,Cats,0)),""))</f>
        <v/>
      </c>
      <c r="Q161" s="36" t="str">
        <f aca="false">IF(OR(J161="",P161="",P161=0),IF(J161="","",0),J161/P161)</f>
        <v/>
      </c>
      <c r="R161" s="36" t="str">
        <f aca="false">IF(OR(Q161="",L161=""),"",MIN(J161,Q161*MAX(0,CurYear-L161)))</f>
        <v/>
      </c>
      <c r="S161" s="36" t="str">
        <f aca="false">IF(R161="",IF(J161="","",J161),J161-R161)</f>
        <v/>
      </c>
      <c r="T161" s="32"/>
    </row>
    <row r="162" customFormat="false" ht="15" hidden="false" customHeight="false" outlineLevel="0" collapsed="false">
      <c r="A162" s="31" t="str">
        <f aca="false">IF(C162="","",ROW()-9)</f>
        <v/>
      </c>
      <c r="B162" s="31" t="str">
        <f aca="true">IF(OR(C162="",F162=""),"","HH-"&amp;INDEX(DeptCodes,MATCH(F162,Depts,0))&amp;"-"&amp;TEXT(COUNTIF(F$10:F162,F162),"000"))</f>
        <v/>
      </c>
      <c r="C162" s="32"/>
      <c r="D162" s="32"/>
      <c r="E162" s="33"/>
      <c r="F162" s="33"/>
      <c r="G162" s="34"/>
      <c r="H162" s="33"/>
      <c r="I162" s="35"/>
      <c r="J162" s="36" t="str">
        <f aca="false">IF(OR(G162="",I162=""),"",G162*I162)</f>
        <v/>
      </c>
      <c r="K162" s="33"/>
      <c r="L162" s="34"/>
      <c r="M162" s="33"/>
      <c r="N162" s="32"/>
      <c r="O162" s="33"/>
      <c r="P162" s="37" t="str">
        <f aca="true">IF(E162="","",IFERROR(INDEX(CatLife,MATCH(E162,Cats,0)),""))</f>
        <v/>
      </c>
      <c r="Q162" s="36" t="str">
        <f aca="false">IF(OR(J162="",P162="",P162=0),IF(J162="","",0),J162/P162)</f>
        <v/>
      </c>
      <c r="R162" s="36" t="str">
        <f aca="false">IF(OR(Q162="",L162=""),"",MIN(J162,Q162*MAX(0,CurYear-L162)))</f>
        <v/>
      </c>
      <c r="S162" s="36" t="str">
        <f aca="false">IF(R162="",IF(J162="","",J162),J162-R162)</f>
        <v/>
      </c>
      <c r="T162" s="32"/>
    </row>
    <row r="163" customFormat="false" ht="15" hidden="false" customHeight="false" outlineLevel="0" collapsed="false">
      <c r="A163" s="31" t="str">
        <f aca="false">IF(C163="","",ROW()-9)</f>
        <v/>
      </c>
      <c r="B163" s="31" t="str">
        <f aca="true">IF(OR(C163="",F163=""),"","HH-"&amp;INDEX(DeptCodes,MATCH(F163,Depts,0))&amp;"-"&amp;TEXT(COUNTIF(F$10:F163,F163),"000"))</f>
        <v/>
      </c>
      <c r="C163" s="32"/>
      <c r="D163" s="32"/>
      <c r="E163" s="33"/>
      <c r="F163" s="33"/>
      <c r="G163" s="34"/>
      <c r="H163" s="33"/>
      <c r="I163" s="35"/>
      <c r="J163" s="36" t="str">
        <f aca="false">IF(OR(G163="",I163=""),"",G163*I163)</f>
        <v/>
      </c>
      <c r="K163" s="33"/>
      <c r="L163" s="34"/>
      <c r="M163" s="33"/>
      <c r="N163" s="32"/>
      <c r="O163" s="33"/>
      <c r="P163" s="37" t="str">
        <f aca="true">IF(E163="","",IFERROR(INDEX(CatLife,MATCH(E163,Cats,0)),""))</f>
        <v/>
      </c>
      <c r="Q163" s="36" t="str">
        <f aca="false">IF(OR(J163="",P163="",P163=0),IF(J163="","",0),J163/P163)</f>
        <v/>
      </c>
      <c r="R163" s="36" t="str">
        <f aca="false">IF(OR(Q163="",L163=""),"",MIN(J163,Q163*MAX(0,CurYear-L163)))</f>
        <v/>
      </c>
      <c r="S163" s="36" t="str">
        <f aca="false">IF(R163="",IF(J163="","",J163),J163-R163)</f>
        <v/>
      </c>
      <c r="T163" s="32"/>
    </row>
    <row r="164" customFormat="false" ht="15" hidden="false" customHeight="false" outlineLevel="0" collapsed="false">
      <c r="A164" s="31" t="str">
        <f aca="false">IF(C164="","",ROW()-9)</f>
        <v/>
      </c>
      <c r="B164" s="31" t="str">
        <f aca="true">IF(OR(C164="",F164=""),"","HH-"&amp;INDEX(DeptCodes,MATCH(F164,Depts,0))&amp;"-"&amp;TEXT(COUNTIF(F$10:F164,F164),"000"))</f>
        <v/>
      </c>
      <c r="C164" s="32"/>
      <c r="D164" s="32"/>
      <c r="E164" s="33"/>
      <c r="F164" s="33"/>
      <c r="G164" s="34"/>
      <c r="H164" s="33"/>
      <c r="I164" s="35"/>
      <c r="J164" s="36" t="str">
        <f aca="false">IF(OR(G164="",I164=""),"",G164*I164)</f>
        <v/>
      </c>
      <c r="K164" s="33"/>
      <c r="L164" s="34"/>
      <c r="M164" s="33"/>
      <c r="N164" s="32"/>
      <c r="O164" s="33"/>
      <c r="P164" s="37" t="str">
        <f aca="true">IF(E164="","",IFERROR(INDEX(CatLife,MATCH(E164,Cats,0)),""))</f>
        <v/>
      </c>
      <c r="Q164" s="36" t="str">
        <f aca="false">IF(OR(J164="",P164="",P164=0),IF(J164="","",0),J164/P164)</f>
        <v/>
      </c>
      <c r="R164" s="36" t="str">
        <f aca="false">IF(OR(Q164="",L164=""),"",MIN(J164,Q164*MAX(0,CurYear-L164)))</f>
        <v/>
      </c>
      <c r="S164" s="36" t="str">
        <f aca="false">IF(R164="",IF(J164="","",J164),J164-R164)</f>
        <v/>
      </c>
      <c r="T164" s="32"/>
    </row>
    <row r="165" customFormat="false" ht="15" hidden="false" customHeight="false" outlineLevel="0" collapsed="false">
      <c r="A165" s="31" t="str">
        <f aca="false">IF(C165="","",ROW()-9)</f>
        <v/>
      </c>
      <c r="B165" s="31" t="str">
        <f aca="true">IF(OR(C165="",F165=""),"","HH-"&amp;INDEX(DeptCodes,MATCH(F165,Depts,0))&amp;"-"&amp;TEXT(COUNTIF(F$10:F165,F165),"000"))</f>
        <v/>
      </c>
      <c r="C165" s="32"/>
      <c r="D165" s="32"/>
      <c r="E165" s="33"/>
      <c r="F165" s="33"/>
      <c r="G165" s="34"/>
      <c r="H165" s="33"/>
      <c r="I165" s="35"/>
      <c r="J165" s="36" t="str">
        <f aca="false">IF(OR(G165="",I165=""),"",G165*I165)</f>
        <v/>
      </c>
      <c r="K165" s="33"/>
      <c r="L165" s="34"/>
      <c r="M165" s="33"/>
      <c r="N165" s="32"/>
      <c r="O165" s="33"/>
      <c r="P165" s="37" t="str">
        <f aca="true">IF(E165="","",IFERROR(INDEX(CatLife,MATCH(E165,Cats,0)),""))</f>
        <v/>
      </c>
      <c r="Q165" s="36" t="str">
        <f aca="false">IF(OR(J165="",P165="",P165=0),IF(J165="","",0),J165/P165)</f>
        <v/>
      </c>
      <c r="R165" s="36" t="str">
        <f aca="false">IF(OR(Q165="",L165=""),"",MIN(J165,Q165*MAX(0,CurYear-L165)))</f>
        <v/>
      </c>
      <c r="S165" s="36" t="str">
        <f aca="false">IF(R165="",IF(J165="","",J165),J165-R165)</f>
        <v/>
      </c>
      <c r="T165" s="32"/>
    </row>
    <row r="166" customFormat="false" ht="15" hidden="false" customHeight="false" outlineLevel="0" collapsed="false">
      <c r="A166" s="31" t="str">
        <f aca="false">IF(C166="","",ROW()-9)</f>
        <v/>
      </c>
      <c r="B166" s="31" t="str">
        <f aca="true">IF(OR(C166="",F166=""),"","HH-"&amp;INDEX(DeptCodes,MATCH(F166,Depts,0))&amp;"-"&amp;TEXT(COUNTIF(F$10:F166,F166),"000"))</f>
        <v/>
      </c>
      <c r="C166" s="32"/>
      <c r="D166" s="32"/>
      <c r="E166" s="33"/>
      <c r="F166" s="33"/>
      <c r="G166" s="34"/>
      <c r="H166" s="33"/>
      <c r="I166" s="35"/>
      <c r="J166" s="36" t="str">
        <f aca="false">IF(OR(G166="",I166=""),"",G166*I166)</f>
        <v/>
      </c>
      <c r="K166" s="33"/>
      <c r="L166" s="34"/>
      <c r="M166" s="33"/>
      <c r="N166" s="32"/>
      <c r="O166" s="33"/>
      <c r="P166" s="37" t="str">
        <f aca="true">IF(E166="","",IFERROR(INDEX(CatLife,MATCH(E166,Cats,0)),""))</f>
        <v/>
      </c>
      <c r="Q166" s="36" t="str">
        <f aca="false">IF(OR(J166="",P166="",P166=0),IF(J166="","",0),J166/P166)</f>
        <v/>
      </c>
      <c r="R166" s="36" t="str">
        <f aca="false">IF(OR(Q166="",L166=""),"",MIN(J166,Q166*MAX(0,CurYear-L166)))</f>
        <v/>
      </c>
      <c r="S166" s="36" t="str">
        <f aca="false">IF(R166="",IF(J166="","",J166),J166-R166)</f>
        <v/>
      </c>
      <c r="T166" s="32"/>
    </row>
    <row r="167" customFormat="false" ht="15" hidden="false" customHeight="false" outlineLevel="0" collapsed="false">
      <c r="A167" s="31" t="str">
        <f aca="false">IF(C167="","",ROW()-9)</f>
        <v/>
      </c>
      <c r="B167" s="31" t="str">
        <f aca="true">IF(OR(C167="",F167=""),"","HH-"&amp;INDEX(DeptCodes,MATCH(F167,Depts,0))&amp;"-"&amp;TEXT(COUNTIF(F$10:F167,F167),"000"))</f>
        <v/>
      </c>
      <c r="C167" s="32"/>
      <c r="D167" s="32"/>
      <c r="E167" s="33"/>
      <c r="F167" s="33"/>
      <c r="G167" s="34"/>
      <c r="H167" s="33"/>
      <c r="I167" s="35"/>
      <c r="J167" s="36" t="str">
        <f aca="false">IF(OR(G167="",I167=""),"",G167*I167)</f>
        <v/>
      </c>
      <c r="K167" s="33"/>
      <c r="L167" s="34"/>
      <c r="M167" s="33"/>
      <c r="N167" s="32"/>
      <c r="O167" s="33"/>
      <c r="P167" s="37" t="str">
        <f aca="true">IF(E167="","",IFERROR(INDEX(CatLife,MATCH(E167,Cats,0)),""))</f>
        <v/>
      </c>
      <c r="Q167" s="36" t="str">
        <f aca="false">IF(OR(J167="",P167="",P167=0),IF(J167="","",0),J167/P167)</f>
        <v/>
      </c>
      <c r="R167" s="36" t="str">
        <f aca="false">IF(OR(Q167="",L167=""),"",MIN(J167,Q167*MAX(0,CurYear-L167)))</f>
        <v/>
      </c>
      <c r="S167" s="36" t="str">
        <f aca="false">IF(R167="",IF(J167="","",J167),J167-R167)</f>
        <v/>
      </c>
      <c r="T167" s="32"/>
    </row>
    <row r="168" customFormat="false" ht="15" hidden="false" customHeight="false" outlineLevel="0" collapsed="false">
      <c r="A168" s="31" t="str">
        <f aca="false">IF(C168="","",ROW()-9)</f>
        <v/>
      </c>
      <c r="B168" s="31" t="str">
        <f aca="true">IF(OR(C168="",F168=""),"","HH-"&amp;INDEX(DeptCodes,MATCH(F168,Depts,0))&amp;"-"&amp;TEXT(COUNTIF(F$10:F168,F168),"000"))</f>
        <v/>
      </c>
      <c r="C168" s="32"/>
      <c r="D168" s="32"/>
      <c r="E168" s="33"/>
      <c r="F168" s="33"/>
      <c r="G168" s="34"/>
      <c r="H168" s="33"/>
      <c r="I168" s="35"/>
      <c r="J168" s="36" t="str">
        <f aca="false">IF(OR(G168="",I168=""),"",G168*I168)</f>
        <v/>
      </c>
      <c r="K168" s="33"/>
      <c r="L168" s="34"/>
      <c r="M168" s="33"/>
      <c r="N168" s="32"/>
      <c r="O168" s="33"/>
      <c r="P168" s="37" t="str">
        <f aca="true">IF(E168="","",IFERROR(INDEX(CatLife,MATCH(E168,Cats,0)),""))</f>
        <v/>
      </c>
      <c r="Q168" s="36" t="str">
        <f aca="false">IF(OR(J168="",P168="",P168=0),IF(J168="","",0),J168/P168)</f>
        <v/>
      </c>
      <c r="R168" s="36" t="str">
        <f aca="false">IF(OR(Q168="",L168=""),"",MIN(J168,Q168*MAX(0,CurYear-L168)))</f>
        <v/>
      </c>
      <c r="S168" s="36" t="str">
        <f aca="false">IF(R168="",IF(J168="","",J168),J168-R168)</f>
        <v/>
      </c>
      <c r="T168" s="32"/>
    </row>
    <row r="169" customFormat="false" ht="15" hidden="false" customHeight="false" outlineLevel="0" collapsed="false">
      <c r="A169" s="31" t="str">
        <f aca="false">IF(C169="","",ROW()-9)</f>
        <v/>
      </c>
      <c r="B169" s="31" t="str">
        <f aca="true">IF(OR(C169="",F169=""),"","HH-"&amp;INDEX(DeptCodes,MATCH(F169,Depts,0))&amp;"-"&amp;TEXT(COUNTIF(F$10:F169,F169),"000"))</f>
        <v/>
      </c>
      <c r="C169" s="32"/>
      <c r="D169" s="32"/>
      <c r="E169" s="33"/>
      <c r="F169" s="33"/>
      <c r="G169" s="34"/>
      <c r="H169" s="33"/>
      <c r="I169" s="35"/>
      <c r="J169" s="36" t="str">
        <f aca="false">IF(OR(G169="",I169=""),"",G169*I169)</f>
        <v/>
      </c>
      <c r="K169" s="33"/>
      <c r="L169" s="34"/>
      <c r="M169" s="33"/>
      <c r="N169" s="32"/>
      <c r="O169" s="33"/>
      <c r="P169" s="37" t="str">
        <f aca="true">IF(E169="","",IFERROR(INDEX(CatLife,MATCH(E169,Cats,0)),""))</f>
        <v/>
      </c>
      <c r="Q169" s="36" t="str">
        <f aca="false">IF(OR(J169="",P169="",P169=0),IF(J169="","",0),J169/P169)</f>
        <v/>
      </c>
      <c r="R169" s="36" t="str">
        <f aca="false">IF(OR(Q169="",L169=""),"",MIN(J169,Q169*MAX(0,CurYear-L169)))</f>
        <v/>
      </c>
      <c r="S169" s="36" t="str">
        <f aca="false">IF(R169="",IF(J169="","",J169),J169-R169)</f>
        <v/>
      </c>
      <c r="T169" s="32"/>
    </row>
    <row r="170" customFormat="false" ht="15" hidden="false" customHeight="false" outlineLevel="0" collapsed="false">
      <c r="A170" s="31" t="str">
        <f aca="false">IF(C170="","",ROW()-9)</f>
        <v/>
      </c>
      <c r="B170" s="31" t="str">
        <f aca="true">IF(OR(C170="",F170=""),"","HH-"&amp;INDEX(DeptCodes,MATCH(F170,Depts,0))&amp;"-"&amp;TEXT(COUNTIF(F$10:F170,F170),"000"))</f>
        <v/>
      </c>
      <c r="C170" s="32"/>
      <c r="D170" s="32"/>
      <c r="E170" s="33"/>
      <c r="F170" s="33"/>
      <c r="G170" s="34"/>
      <c r="H170" s="33"/>
      <c r="I170" s="35"/>
      <c r="J170" s="36" t="str">
        <f aca="false">IF(OR(G170="",I170=""),"",G170*I170)</f>
        <v/>
      </c>
      <c r="K170" s="33"/>
      <c r="L170" s="34"/>
      <c r="M170" s="33"/>
      <c r="N170" s="32"/>
      <c r="O170" s="33"/>
      <c r="P170" s="37" t="str">
        <f aca="true">IF(E170="","",IFERROR(INDEX(CatLife,MATCH(E170,Cats,0)),""))</f>
        <v/>
      </c>
      <c r="Q170" s="36" t="str">
        <f aca="false">IF(OR(J170="",P170="",P170=0),IF(J170="","",0),J170/P170)</f>
        <v/>
      </c>
      <c r="R170" s="36" t="str">
        <f aca="false">IF(OR(Q170="",L170=""),"",MIN(J170,Q170*MAX(0,CurYear-L170)))</f>
        <v/>
      </c>
      <c r="S170" s="36" t="str">
        <f aca="false">IF(R170="",IF(J170="","",J170),J170-R170)</f>
        <v/>
      </c>
      <c r="T170" s="32"/>
    </row>
    <row r="171" customFormat="false" ht="15" hidden="false" customHeight="false" outlineLevel="0" collapsed="false">
      <c r="A171" s="31" t="str">
        <f aca="false">IF(C171="","",ROW()-9)</f>
        <v/>
      </c>
      <c r="B171" s="31" t="str">
        <f aca="true">IF(OR(C171="",F171=""),"","HH-"&amp;INDEX(DeptCodes,MATCH(F171,Depts,0))&amp;"-"&amp;TEXT(COUNTIF(F$10:F171,F171),"000"))</f>
        <v/>
      </c>
      <c r="C171" s="32"/>
      <c r="D171" s="32"/>
      <c r="E171" s="33"/>
      <c r="F171" s="33"/>
      <c r="G171" s="34"/>
      <c r="H171" s="33"/>
      <c r="I171" s="35"/>
      <c r="J171" s="36" t="str">
        <f aca="false">IF(OR(G171="",I171=""),"",G171*I171)</f>
        <v/>
      </c>
      <c r="K171" s="33"/>
      <c r="L171" s="34"/>
      <c r="M171" s="33"/>
      <c r="N171" s="32"/>
      <c r="O171" s="33"/>
      <c r="P171" s="37" t="str">
        <f aca="true">IF(E171="","",IFERROR(INDEX(CatLife,MATCH(E171,Cats,0)),""))</f>
        <v/>
      </c>
      <c r="Q171" s="36" t="str">
        <f aca="false">IF(OR(J171="",P171="",P171=0),IF(J171="","",0),J171/P171)</f>
        <v/>
      </c>
      <c r="R171" s="36" t="str">
        <f aca="false">IF(OR(Q171="",L171=""),"",MIN(J171,Q171*MAX(0,CurYear-L171)))</f>
        <v/>
      </c>
      <c r="S171" s="36" t="str">
        <f aca="false">IF(R171="",IF(J171="","",J171),J171-R171)</f>
        <v/>
      </c>
      <c r="T171" s="32"/>
    </row>
    <row r="172" customFormat="false" ht="15" hidden="false" customHeight="false" outlineLevel="0" collapsed="false">
      <c r="A172" s="31" t="str">
        <f aca="false">IF(C172="","",ROW()-9)</f>
        <v/>
      </c>
      <c r="B172" s="31" t="str">
        <f aca="true">IF(OR(C172="",F172=""),"","HH-"&amp;INDEX(DeptCodes,MATCH(F172,Depts,0))&amp;"-"&amp;TEXT(COUNTIF(F$10:F172,F172),"000"))</f>
        <v/>
      </c>
      <c r="C172" s="32"/>
      <c r="D172" s="32"/>
      <c r="E172" s="33"/>
      <c r="F172" s="33"/>
      <c r="G172" s="34"/>
      <c r="H172" s="33"/>
      <c r="I172" s="35"/>
      <c r="J172" s="36" t="str">
        <f aca="false">IF(OR(G172="",I172=""),"",G172*I172)</f>
        <v/>
      </c>
      <c r="K172" s="33"/>
      <c r="L172" s="34"/>
      <c r="M172" s="33"/>
      <c r="N172" s="32"/>
      <c r="O172" s="33"/>
      <c r="P172" s="37" t="str">
        <f aca="true">IF(E172="","",IFERROR(INDEX(CatLife,MATCH(E172,Cats,0)),""))</f>
        <v/>
      </c>
      <c r="Q172" s="36" t="str">
        <f aca="false">IF(OR(J172="",P172="",P172=0),IF(J172="","",0),J172/P172)</f>
        <v/>
      </c>
      <c r="R172" s="36" t="str">
        <f aca="false">IF(OR(Q172="",L172=""),"",MIN(J172,Q172*MAX(0,CurYear-L172)))</f>
        <v/>
      </c>
      <c r="S172" s="36" t="str">
        <f aca="false">IF(R172="",IF(J172="","",J172),J172-R172)</f>
        <v/>
      </c>
      <c r="T172" s="32"/>
    </row>
    <row r="173" customFormat="false" ht="15" hidden="false" customHeight="false" outlineLevel="0" collapsed="false">
      <c r="A173" s="31" t="str">
        <f aca="false">IF(C173="","",ROW()-9)</f>
        <v/>
      </c>
      <c r="B173" s="31" t="str">
        <f aca="true">IF(OR(C173="",F173=""),"","HH-"&amp;INDEX(DeptCodes,MATCH(F173,Depts,0))&amp;"-"&amp;TEXT(COUNTIF(F$10:F173,F173),"000"))</f>
        <v/>
      </c>
      <c r="C173" s="32"/>
      <c r="D173" s="32"/>
      <c r="E173" s="33"/>
      <c r="F173" s="33"/>
      <c r="G173" s="34"/>
      <c r="H173" s="33"/>
      <c r="I173" s="35"/>
      <c r="J173" s="36" t="str">
        <f aca="false">IF(OR(G173="",I173=""),"",G173*I173)</f>
        <v/>
      </c>
      <c r="K173" s="33"/>
      <c r="L173" s="34"/>
      <c r="M173" s="33"/>
      <c r="N173" s="32"/>
      <c r="O173" s="33"/>
      <c r="P173" s="37" t="str">
        <f aca="true">IF(E173="","",IFERROR(INDEX(CatLife,MATCH(E173,Cats,0)),""))</f>
        <v/>
      </c>
      <c r="Q173" s="36" t="str">
        <f aca="false">IF(OR(J173="",P173="",P173=0),IF(J173="","",0),J173/P173)</f>
        <v/>
      </c>
      <c r="R173" s="36" t="str">
        <f aca="false">IF(OR(Q173="",L173=""),"",MIN(J173,Q173*MAX(0,CurYear-L173)))</f>
        <v/>
      </c>
      <c r="S173" s="36" t="str">
        <f aca="false">IF(R173="",IF(J173="","",J173),J173-R173)</f>
        <v/>
      </c>
      <c r="T173" s="32"/>
    </row>
    <row r="174" customFormat="false" ht="15" hidden="false" customHeight="false" outlineLevel="0" collapsed="false">
      <c r="A174" s="31" t="str">
        <f aca="false">IF(C174="","",ROW()-9)</f>
        <v/>
      </c>
      <c r="B174" s="31" t="str">
        <f aca="true">IF(OR(C174="",F174=""),"","HH-"&amp;INDEX(DeptCodes,MATCH(F174,Depts,0))&amp;"-"&amp;TEXT(COUNTIF(F$10:F174,F174),"000"))</f>
        <v/>
      </c>
      <c r="C174" s="32"/>
      <c r="D174" s="32"/>
      <c r="E174" s="33"/>
      <c r="F174" s="33"/>
      <c r="G174" s="34"/>
      <c r="H174" s="33"/>
      <c r="I174" s="35"/>
      <c r="J174" s="36" t="str">
        <f aca="false">IF(OR(G174="",I174=""),"",G174*I174)</f>
        <v/>
      </c>
      <c r="K174" s="33"/>
      <c r="L174" s="34"/>
      <c r="M174" s="33"/>
      <c r="N174" s="32"/>
      <c r="O174" s="33"/>
      <c r="P174" s="37" t="str">
        <f aca="true">IF(E174="","",IFERROR(INDEX(CatLife,MATCH(E174,Cats,0)),""))</f>
        <v/>
      </c>
      <c r="Q174" s="36" t="str">
        <f aca="false">IF(OR(J174="",P174="",P174=0),IF(J174="","",0),J174/P174)</f>
        <v/>
      </c>
      <c r="R174" s="36" t="str">
        <f aca="false">IF(OR(Q174="",L174=""),"",MIN(J174,Q174*MAX(0,CurYear-L174)))</f>
        <v/>
      </c>
      <c r="S174" s="36" t="str">
        <f aca="false">IF(R174="",IF(J174="","",J174),J174-R174)</f>
        <v/>
      </c>
      <c r="T174" s="32"/>
    </row>
    <row r="175" customFormat="false" ht="15" hidden="false" customHeight="false" outlineLevel="0" collapsed="false">
      <c r="A175" s="31" t="str">
        <f aca="false">IF(C175="","",ROW()-9)</f>
        <v/>
      </c>
      <c r="B175" s="31" t="str">
        <f aca="true">IF(OR(C175="",F175=""),"","HH-"&amp;INDEX(DeptCodes,MATCH(F175,Depts,0))&amp;"-"&amp;TEXT(COUNTIF(F$10:F175,F175),"000"))</f>
        <v/>
      </c>
      <c r="C175" s="32"/>
      <c r="D175" s="32"/>
      <c r="E175" s="33"/>
      <c r="F175" s="33"/>
      <c r="G175" s="34"/>
      <c r="H175" s="33"/>
      <c r="I175" s="35"/>
      <c r="J175" s="36" t="str">
        <f aca="false">IF(OR(G175="",I175=""),"",G175*I175)</f>
        <v/>
      </c>
      <c r="K175" s="33"/>
      <c r="L175" s="34"/>
      <c r="M175" s="33"/>
      <c r="N175" s="32"/>
      <c r="O175" s="33"/>
      <c r="P175" s="37" t="str">
        <f aca="true">IF(E175="","",IFERROR(INDEX(CatLife,MATCH(E175,Cats,0)),""))</f>
        <v/>
      </c>
      <c r="Q175" s="36" t="str">
        <f aca="false">IF(OR(J175="",P175="",P175=0),IF(J175="","",0),J175/P175)</f>
        <v/>
      </c>
      <c r="R175" s="36" t="str">
        <f aca="false">IF(OR(Q175="",L175=""),"",MIN(J175,Q175*MAX(0,CurYear-L175)))</f>
        <v/>
      </c>
      <c r="S175" s="36" t="str">
        <f aca="false">IF(R175="",IF(J175="","",J175),J175-R175)</f>
        <v/>
      </c>
      <c r="T175" s="32"/>
    </row>
    <row r="176" customFormat="false" ht="15" hidden="false" customHeight="false" outlineLevel="0" collapsed="false">
      <c r="A176" s="31" t="str">
        <f aca="false">IF(C176="","",ROW()-9)</f>
        <v/>
      </c>
      <c r="B176" s="31" t="str">
        <f aca="true">IF(OR(C176="",F176=""),"","HH-"&amp;INDEX(DeptCodes,MATCH(F176,Depts,0))&amp;"-"&amp;TEXT(COUNTIF(F$10:F176,F176),"000"))</f>
        <v/>
      </c>
      <c r="C176" s="32"/>
      <c r="D176" s="32"/>
      <c r="E176" s="33"/>
      <c r="F176" s="33"/>
      <c r="G176" s="34"/>
      <c r="H176" s="33"/>
      <c r="I176" s="35"/>
      <c r="J176" s="36" t="str">
        <f aca="false">IF(OR(G176="",I176=""),"",G176*I176)</f>
        <v/>
      </c>
      <c r="K176" s="33"/>
      <c r="L176" s="34"/>
      <c r="M176" s="33"/>
      <c r="N176" s="32"/>
      <c r="O176" s="33"/>
      <c r="P176" s="37" t="str">
        <f aca="true">IF(E176="","",IFERROR(INDEX(CatLife,MATCH(E176,Cats,0)),""))</f>
        <v/>
      </c>
      <c r="Q176" s="36" t="str">
        <f aca="false">IF(OR(J176="",P176="",P176=0),IF(J176="","",0),J176/P176)</f>
        <v/>
      </c>
      <c r="R176" s="36" t="str">
        <f aca="false">IF(OR(Q176="",L176=""),"",MIN(J176,Q176*MAX(0,CurYear-L176)))</f>
        <v/>
      </c>
      <c r="S176" s="36" t="str">
        <f aca="false">IF(R176="",IF(J176="","",J176),J176-R176)</f>
        <v/>
      </c>
      <c r="T176" s="32"/>
    </row>
    <row r="177" customFormat="false" ht="15" hidden="false" customHeight="false" outlineLevel="0" collapsed="false">
      <c r="A177" s="31" t="str">
        <f aca="false">IF(C177="","",ROW()-9)</f>
        <v/>
      </c>
      <c r="B177" s="31" t="str">
        <f aca="true">IF(OR(C177="",F177=""),"","HH-"&amp;INDEX(DeptCodes,MATCH(F177,Depts,0))&amp;"-"&amp;TEXT(COUNTIF(F$10:F177,F177),"000"))</f>
        <v/>
      </c>
      <c r="C177" s="32"/>
      <c r="D177" s="32"/>
      <c r="E177" s="33"/>
      <c r="F177" s="33"/>
      <c r="G177" s="34"/>
      <c r="H177" s="33"/>
      <c r="I177" s="35"/>
      <c r="J177" s="36" t="str">
        <f aca="false">IF(OR(G177="",I177=""),"",G177*I177)</f>
        <v/>
      </c>
      <c r="K177" s="33"/>
      <c r="L177" s="34"/>
      <c r="M177" s="33"/>
      <c r="N177" s="32"/>
      <c r="O177" s="33"/>
      <c r="P177" s="37" t="str">
        <f aca="true">IF(E177="","",IFERROR(INDEX(CatLife,MATCH(E177,Cats,0)),""))</f>
        <v/>
      </c>
      <c r="Q177" s="36" t="str">
        <f aca="false">IF(OR(J177="",P177="",P177=0),IF(J177="","",0),J177/P177)</f>
        <v/>
      </c>
      <c r="R177" s="36" t="str">
        <f aca="false">IF(OR(Q177="",L177=""),"",MIN(J177,Q177*MAX(0,CurYear-L177)))</f>
        <v/>
      </c>
      <c r="S177" s="36" t="str">
        <f aca="false">IF(R177="",IF(J177="","",J177),J177-R177)</f>
        <v/>
      </c>
      <c r="T177" s="32"/>
    </row>
    <row r="178" customFormat="false" ht="15" hidden="false" customHeight="false" outlineLevel="0" collapsed="false">
      <c r="A178" s="31" t="str">
        <f aca="false">IF(C178="","",ROW()-9)</f>
        <v/>
      </c>
      <c r="B178" s="31" t="str">
        <f aca="true">IF(OR(C178="",F178=""),"","HH-"&amp;INDEX(DeptCodes,MATCH(F178,Depts,0))&amp;"-"&amp;TEXT(COUNTIF(F$10:F178,F178),"000"))</f>
        <v/>
      </c>
      <c r="C178" s="32"/>
      <c r="D178" s="32"/>
      <c r="E178" s="33"/>
      <c r="F178" s="33"/>
      <c r="G178" s="34"/>
      <c r="H178" s="33"/>
      <c r="I178" s="35"/>
      <c r="J178" s="36" t="str">
        <f aca="false">IF(OR(G178="",I178=""),"",G178*I178)</f>
        <v/>
      </c>
      <c r="K178" s="33"/>
      <c r="L178" s="34"/>
      <c r="M178" s="33"/>
      <c r="N178" s="32"/>
      <c r="O178" s="33"/>
      <c r="P178" s="37" t="str">
        <f aca="true">IF(E178="","",IFERROR(INDEX(CatLife,MATCH(E178,Cats,0)),""))</f>
        <v/>
      </c>
      <c r="Q178" s="36" t="str">
        <f aca="false">IF(OR(J178="",P178="",P178=0),IF(J178="","",0),J178/P178)</f>
        <v/>
      </c>
      <c r="R178" s="36" t="str">
        <f aca="false">IF(OR(Q178="",L178=""),"",MIN(J178,Q178*MAX(0,CurYear-L178)))</f>
        <v/>
      </c>
      <c r="S178" s="36" t="str">
        <f aca="false">IF(R178="",IF(J178="","",J178),J178-R178)</f>
        <v/>
      </c>
      <c r="T178" s="32"/>
    </row>
    <row r="179" customFormat="false" ht="15" hidden="false" customHeight="false" outlineLevel="0" collapsed="false">
      <c r="A179" s="31" t="str">
        <f aca="false">IF(C179="","",ROW()-9)</f>
        <v/>
      </c>
      <c r="B179" s="31" t="str">
        <f aca="true">IF(OR(C179="",F179=""),"","HH-"&amp;INDEX(DeptCodes,MATCH(F179,Depts,0))&amp;"-"&amp;TEXT(COUNTIF(F$10:F179,F179),"000"))</f>
        <v/>
      </c>
      <c r="C179" s="32"/>
      <c r="D179" s="32"/>
      <c r="E179" s="33"/>
      <c r="F179" s="33"/>
      <c r="G179" s="34"/>
      <c r="H179" s="33"/>
      <c r="I179" s="35"/>
      <c r="J179" s="36" t="str">
        <f aca="false">IF(OR(G179="",I179=""),"",G179*I179)</f>
        <v/>
      </c>
      <c r="K179" s="33"/>
      <c r="L179" s="34"/>
      <c r="M179" s="33"/>
      <c r="N179" s="32"/>
      <c r="O179" s="33"/>
      <c r="P179" s="37" t="str">
        <f aca="true">IF(E179="","",IFERROR(INDEX(CatLife,MATCH(E179,Cats,0)),""))</f>
        <v/>
      </c>
      <c r="Q179" s="36" t="str">
        <f aca="false">IF(OR(J179="",P179="",P179=0),IF(J179="","",0),J179/P179)</f>
        <v/>
      </c>
      <c r="R179" s="36" t="str">
        <f aca="false">IF(OR(Q179="",L179=""),"",MIN(J179,Q179*MAX(0,CurYear-L179)))</f>
        <v/>
      </c>
      <c r="S179" s="36" t="str">
        <f aca="false">IF(R179="",IF(J179="","",J179),J179-R179)</f>
        <v/>
      </c>
      <c r="T179" s="32"/>
    </row>
    <row r="180" customFormat="false" ht="15" hidden="false" customHeight="false" outlineLevel="0" collapsed="false">
      <c r="A180" s="31" t="str">
        <f aca="false">IF(C180="","",ROW()-9)</f>
        <v/>
      </c>
      <c r="B180" s="31" t="str">
        <f aca="true">IF(OR(C180="",F180=""),"","HH-"&amp;INDEX(DeptCodes,MATCH(F180,Depts,0))&amp;"-"&amp;TEXT(COUNTIF(F$10:F180,F180),"000"))</f>
        <v/>
      </c>
      <c r="C180" s="32"/>
      <c r="D180" s="32"/>
      <c r="E180" s="33"/>
      <c r="F180" s="33"/>
      <c r="G180" s="34"/>
      <c r="H180" s="33"/>
      <c r="I180" s="35"/>
      <c r="J180" s="36" t="str">
        <f aca="false">IF(OR(G180="",I180=""),"",G180*I180)</f>
        <v/>
      </c>
      <c r="K180" s="33"/>
      <c r="L180" s="34"/>
      <c r="M180" s="33"/>
      <c r="N180" s="32"/>
      <c r="O180" s="33"/>
      <c r="P180" s="37" t="str">
        <f aca="true">IF(E180="","",IFERROR(INDEX(CatLife,MATCH(E180,Cats,0)),""))</f>
        <v/>
      </c>
      <c r="Q180" s="36" t="str">
        <f aca="false">IF(OR(J180="",P180="",P180=0),IF(J180="","",0),J180/P180)</f>
        <v/>
      </c>
      <c r="R180" s="36" t="str">
        <f aca="false">IF(OR(Q180="",L180=""),"",MIN(J180,Q180*MAX(0,CurYear-L180)))</f>
        <v/>
      </c>
      <c r="S180" s="36" t="str">
        <f aca="false">IF(R180="",IF(J180="","",J180),J180-R180)</f>
        <v/>
      </c>
      <c r="T180" s="32"/>
    </row>
    <row r="181" customFormat="false" ht="15" hidden="false" customHeight="false" outlineLevel="0" collapsed="false">
      <c r="A181" s="31" t="str">
        <f aca="false">IF(C181="","",ROW()-9)</f>
        <v/>
      </c>
      <c r="B181" s="31" t="str">
        <f aca="true">IF(OR(C181="",F181=""),"","HH-"&amp;INDEX(DeptCodes,MATCH(F181,Depts,0))&amp;"-"&amp;TEXT(COUNTIF(F$10:F181,F181),"000"))</f>
        <v/>
      </c>
      <c r="C181" s="32"/>
      <c r="D181" s="32"/>
      <c r="E181" s="33"/>
      <c r="F181" s="33"/>
      <c r="G181" s="34"/>
      <c r="H181" s="33"/>
      <c r="I181" s="35"/>
      <c r="J181" s="36" t="str">
        <f aca="false">IF(OR(G181="",I181=""),"",G181*I181)</f>
        <v/>
      </c>
      <c r="K181" s="33"/>
      <c r="L181" s="34"/>
      <c r="M181" s="33"/>
      <c r="N181" s="32"/>
      <c r="O181" s="33"/>
      <c r="P181" s="37" t="str">
        <f aca="true">IF(E181="","",IFERROR(INDEX(CatLife,MATCH(E181,Cats,0)),""))</f>
        <v/>
      </c>
      <c r="Q181" s="36" t="str">
        <f aca="false">IF(OR(J181="",P181="",P181=0),IF(J181="","",0),J181/P181)</f>
        <v/>
      </c>
      <c r="R181" s="36" t="str">
        <f aca="false">IF(OR(Q181="",L181=""),"",MIN(J181,Q181*MAX(0,CurYear-L181)))</f>
        <v/>
      </c>
      <c r="S181" s="36" t="str">
        <f aca="false">IF(R181="",IF(J181="","",J181),J181-R181)</f>
        <v/>
      </c>
      <c r="T181" s="32"/>
    </row>
    <row r="182" customFormat="false" ht="15" hidden="false" customHeight="false" outlineLevel="0" collapsed="false">
      <c r="A182" s="31" t="str">
        <f aca="false">IF(C182="","",ROW()-9)</f>
        <v/>
      </c>
      <c r="B182" s="31" t="str">
        <f aca="true">IF(OR(C182="",F182=""),"","HH-"&amp;INDEX(DeptCodes,MATCH(F182,Depts,0))&amp;"-"&amp;TEXT(COUNTIF(F$10:F182,F182),"000"))</f>
        <v/>
      </c>
      <c r="C182" s="32"/>
      <c r="D182" s="32"/>
      <c r="E182" s="33"/>
      <c r="F182" s="33"/>
      <c r="G182" s="34"/>
      <c r="H182" s="33"/>
      <c r="I182" s="35"/>
      <c r="J182" s="36" t="str">
        <f aca="false">IF(OR(G182="",I182=""),"",G182*I182)</f>
        <v/>
      </c>
      <c r="K182" s="33"/>
      <c r="L182" s="34"/>
      <c r="M182" s="33"/>
      <c r="N182" s="32"/>
      <c r="O182" s="33"/>
      <c r="P182" s="37" t="str">
        <f aca="true">IF(E182="","",IFERROR(INDEX(CatLife,MATCH(E182,Cats,0)),""))</f>
        <v/>
      </c>
      <c r="Q182" s="36" t="str">
        <f aca="false">IF(OR(J182="",P182="",P182=0),IF(J182="","",0),J182/P182)</f>
        <v/>
      </c>
      <c r="R182" s="36" t="str">
        <f aca="false">IF(OR(Q182="",L182=""),"",MIN(J182,Q182*MAX(0,CurYear-L182)))</f>
        <v/>
      </c>
      <c r="S182" s="36" t="str">
        <f aca="false">IF(R182="",IF(J182="","",J182),J182-R182)</f>
        <v/>
      </c>
      <c r="T182" s="32"/>
    </row>
    <row r="183" customFormat="false" ht="15" hidden="false" customHeight="false" outlineLevel="0" collapsed="false">
      <c r="A183" s="31" t="str">
        <f aca="false">IF(C183="","",ROW()-9)</f>
        <v/>
      </c>
      <c r="B183" s="31" t="str">
        <f aca="true">IF(OR(C183="",F183=""),"","HH-"&amp;INDEX(DeptCodes,MATCH(F183,Depts,0))&amp;"-"&amp;TEXT(COUNTIF(F$10:F183,F183),"000"))</f>
        <v/>
      </c>
      <c r="C183" s="32"/>
      <c r="D183" s="32"/>
      <c r="E183" s="33"/>
      <c r="F183" s="33"/>
      <c r="G183" s="34"/>
      <c r="H183" s="33"/>
      <c r="I183" s="35"/>
      <c r="J183" s="36" t="str">
        <f aca="false">IF(OR(G183="",I183=""),"",G183*I183)</f>
        <v/>
      </c>
      <c r="K183" s="33"/>
      <c r="L183" s="34"/>
      <c r="M183" s="33"/>
      <c r="N183" s="32"/>
      <c r="O183" s="33"/>
      <c r="P183" s="37" t="str">
        <f aca="true">IF(E183="","",IFERROR(INDEX(CatLife,MATCH(E183,Cats,0)),""))</f>
        <v/>
      </c>
      <c r="Q183" s="36" t="str">
        <f aca="false">IF(OR(J183="",P183="",P183=0),IF(J183="","",0),J183/P183)</f>
        <v/>
      </c>
      <c r="R183" s="36" t="str">
        <f aca="false">IF(OR(Q183="",L183=""),"",MIN(J183,Q183*MAX(0,CurYear-L183)))</f>
        <v/>
      </c>
      <c r="S183" s="36" t="str">
        <f aca="false">IF(R183="",IF(J183="","",J183),J183-R183)</f>
        <v/>
      </c>
      <c r="T183" s="32"/>
    </row>
    <row r="184" customFormat="false" ht="15" hidden="false" customHeight="false" outlineLevel="0" collapsed="false">
      <c r="A184" s="31" t="str">
        <f aca="false">IF(C184="","",ROW()-9)</f>
        <v/>
      </c>
      <c r="B184" s="31" t="str">
        <f aca="true">IF(OR(C184="",F184=""),"","HH-"&amp;INDEX(DeptCodes,MATCH(F184,Depts,0))&amp;"-"&amp;TEXT(COUNTIF(F$10:F184,F184),"000"))</f>
        <v/>
      </c>
      <c r="C184" s="32"/>
      <c r="D184" s="32"/>
      <c r="E184" s="33"/>
      <c r="F184" s="33"/>
      <c r="G184" s="34"/>
      <c r="H184" s="33"/>
      <c r="I184" s="35"/>
      <c r="J184" s="36" t="str">
        <f aca="false">IF(OR(G184="",I184=""),"",G184*I184)</f>
        <v/>
      </c>
      <c r="K184" s="33"/>
      <c r="L184" s="34"/>
      <c r="M184" s="33"/>
      <c r="N184" s="32"/>
      <c r="O184" s="33"/>
      <c r="P184" s="37" t="str">
        <f aca="true">IF(E184="","",IFERROR(INDEX(CatLife,MATCH(E184,Cats,0)),""))</f>
        <v/>
      </c>
      <c r="Q184" s="36" t="str">
        <f aca="false">IF(OR(J184="",P184="",P184=0),IF(J184="","",0),J184/P184)</f>
        <v/>
      </c>
      <c r="R184" s="36" t="str">
        <f aca="false">IF(OR(Q184="",L184=""),"",MIN(J184,Q184*MAX(0,CurYear-L184)))</f>
        <v/>
      </c>
      <c r="S184" s="36" t="str">
        <f aca="false">IF(R184="",IF(J184="","",J184),J184-R184)</f>
        <v/>
      </c>
      <c r="T184" s="32"/>
    </row>
    <row r="185" customFormat="false" ht="15" hidden="false" customHeight="false" outlineLevel="0" collapsed="false">
      <c r="A185" s="31" t="str">
        <f aca="false">IF(C185="","",ROW()-9)</f>
        <v/>
      </c>
      <c r="B185" s="31" t="str">
        <f aca="true">IF(OR(C185="",F185=""),"","HH-"&amp;INDEX(DeptCodes,MATCH(F185,Depts,0))&amp;"-"&amp;TEXT(COUNTIF(F$10:F185,F185),"000"))</f>
        <v/>
      </c>
      <c r="C185" s="32"/>
      <c r="D185" s="32"/>
      <c r="E185" s="33"/>
      <c r="F185" s="33"/>
      <c r="G185" s="34"/>
      <c r="H185" s="33"/>
      <c r="I185" s="35"/>
      <c r="J185" s="36" t="str">
        <f aca="false">IF(OR(G185="",I185=""),"",G185*I185)</f>
        <v/>
      </c>
      <c r="K185" s="33"/>
      <c r="L185" s="34"/>
      <c r="M185" s="33"/>
      <c r="N185" s="32"/>
      <c r="O185" s="33"/>
      <c r="P185" s="37" t="str">
        <f aca="true">IF(E185="","",IFERROR(INDEX(CatLife,MATCH(E185,Cats,0)),""))</f>
        <v/>
      </c>
      <c r="Q185" s="36" t="str">
        <f aca="false">IF(OR(J185="",P185="",P185=0),IF(J185="","",0),J185/P185)</f>
        <v/>
      </c>
      <c r="R185" s="36" t="str">
        <f aca="false">IF(OR(Q185="",L185=""),"",MIN(J185,Q185*MAX(0,CurYear-L185)))</f>
        <v/>
      </c>
      <c r="S185" s="36" t="str">
        <f aca="false">IF(R185="",IF(J185="","",J185),J185-R185)</f>
        <v/>
      </c>
      <c r="T185" s="32"/>
    </row>
    <row r="186" customFormat="false" ht="15" hidden="false" customHeight="false" outlineLevel="0" collapsed="false">
      <c r="A186" s="31" t="str">
        <f aca="false">IF(C186="","",ROW()-9)</f>
        <v/>
      </c>
      <c r="B186" s="31" t="str">
        <f aca="true">IF(OR(C186="",F186=""),"","HH-"&amp;INDEX(DeptCodes,MATCH(F186,Depts,0))&amp;"-"&amp;TEXT(COUNTIF(F$10:F186,F186),"000"))</f>
        <v/>
      </c>
      <c r="C186" s="32"/>
      <c r="D186" s="32"/>
      <c r="E186" s="33"/>
      <c r="F186" s="33"/>
      <c r="G186" s="34"/>
      <c r="H186" s="33"/>
      <c r="I186" s="35"/>
      <c r="J186" s="36" t="str">
        <f aca="false">IF(OR(G186="",I186=""),"",G186*I186)</f>
        <v/>
      </c>
      <c r="K186" s="33"/>
      <c r="L186" s="34"/>
      <c r="M186" s="33"/>
      <c r="N186" s="32"/>
      <c r="O186" s="33"/>
      <c r="P186" s="37" t="str">
        <f aca="true">IF(E186="","",IFERROR(INDEX(CatLife,MATCH(E186,Cats,0)),""))</f>
        <v/>
      </c>
      <c r="Q186" s="36" t="str">
        <f aca="false">IF(OR(J186="",P186="",P186=0),IF(J186="","",0),J186/P186)</f>
        <v/>
      </c>
      <c r="R186" s="36" t="str">
        <f aca="false">IF(OR(Q186="",L186=""),"",MIN(J186,Q186*MAX(0,CurYear-L186)))</f>
        <v/>
      </c>
      <c r="S186" s="36" t="str">
        <f aca="false">IF(R186="",IF(J186="","",J186),J186-R186)</f>
        <v/>
      </c>
      <c r="T186" s="32"/>
    </row>
    <row r="187" customFormat="false" ht="15" hidden="false" customHeight="false" outlineLevel="0" collapsed="false">
      <c r="A187" s="31" t="str">
        <f aca="false">IF(C187="","",ROW()-9)</f>
        <v/>
      </c>
      <c r="B187" s="31" t="str">
        <f aca="true">IF(OR(C187="",F187=""),"","HH-"&amp;INDEX(DeptCodes,MATCH(F187,Depts,0))&amp;"-"&amp;TEXT(COUNTIF(F$10:F187,F187),"000"))</f>
        <v/>
      </c>
      <c r="C187" s="32"/>
      <c r="D187" s="32"/>
      <c r="E187" s="33"/>
      <c r="F187" s="33"/>
      <c r="G187" s="34"/>
      <c r="H187" s="33"/>
      <c r="I187" s="35"/>
      <c r="J187" s="36" t="str">
        <f aca="false">IF(OR(G187="",I187=""),"",G187*I187)</f>
        <v/>
      </c>
      <c r="K187" s="33"/>
      <c r="L187" s="34"/>
      <c r="M187" s="33"/>
      <c r="N187" s="32"/>
      <c r="O187" s="33"/>
      <c r="P187" s="37" t="str">
        <f aca="true">IF(E187="","",IFERROR(INDEX(CatLife,MATCH(E187,Cats,0)),""))</f>
        <v/>
      </c>
      <c r="Q187" s="36" t="str">
        <f aca="false">IF(OR(J187="",P187="",P187=0),IF(J187="","",0),J187/P187)</f>
        <v/>
      </c>
      <c r="R187" s="36" t="str">
        <f aca="false">IF(OR(Q187="",L187=""),"",MIN(J187,Q187*MAX(0,CurYear-L187)))</f>
        <v/>
      </c>
      <c r="S187" s="36" t="str">
        <f aca="false">IF(R187="",IF(J187="","",J187),J187-R187)</f>
        <v/>
      </c>
      <c r="T187" s="32"/>
    </row>
    <row r="188" customFormat="false" ht="15" hidden="false" customHeight="false" outlineLevel="0" collapsed="false">
      <c r="A188" s="31" t="str">
        <f aca="false">IF(C188="","",ROW()-9)</f>
        <v/>
      </c>
      <c r="B188" s="31" t="str">
        <f aca="true">IF(OR(C188="",F188=""),"","HH-"&amp;INDEX(DeptCodes,MATCH(F188,Depts,0))&amp;"-"&amp;TEXT(COUNTIF(F$10:F188,F188),"000"))</f>
        <v/>
      </c>
      <c r="C188" s="32"/>
      <c r="D188" s="32"/>
      <c r="E188" s="33"/>
      <c r="F188" s="33"/>
      <c r="G188" s="34"/>
      <c r="H188" s="33"/>
      <c r="I188" s="35"/>
      <c r="J188" s="36" t="str">
        <f aca="false">IF(OR(G188="",I188=""),"",G188*I188)</f>
        <v/>
      </c>
      <c r="K188" s="33"/>
      <c r="L188" s="34"/>
      <c r="M188" s="33"/>
      <c r="N188" s="32"/>
      <c r="O188" s="33"/>
      <c r="P188" s="37" t="str">
        <f aca="true">IF(E188="","",IFERROR(INDEX(CatLife,MATCH(E188,Cats,0)),""))</f>
        <v/>
      </c>
      <c r="Q188" s="36" t="str">
        <f aca="false">IF(OR(J188="",P188="",P188=0),IF(J188="","",0),J188/P188)</f>
        <v/>
      </c>
      <c r="R188" s="36" t="str">
        <f aca="false">IF(OR(Q188="",L188=""),"",MIN(J188,Q188*MAX(0,CurYear-L188)))</f>
        <v/>
      </c>
      <c r="S188" s="36" t="str">
        <f aca="false">IF(R188="",IF(J188="","",J188),J188-R188)</f>
        <v/>
      </c>
      <c r="T188" s="32"/>
    </row>
    <row r="189" customFormat="false" ht="15" hidden="false" customHeight="false" outlineLevel="0" collapsed="false">
      <c r="A189" s="31" t="str">
        <f aca="false">IF(C189="","",ROW()-9)</f>
        <v/>
      </c>
      <c r="B189" s="31" t="str">
        <f aca="true">IF(OR(C189="",F189=""),"","HH-"&amp;INDEX(DeptCodes,MATCH(F189,Depts,0))&amp;"-"&amp;TEXT(COUNTIF(F$10:F189,F189),"000"))</f>
        <v/>
      </c>
      <c r="C189" s="32"/>
      <c r="D189" s="32"/>
      <c r="E189" s="33"/>
      <c r="F189" s="33"/>
      <c r="G189" s="34"/>
      <c r="H189" s="33"/>
      <c r="I189" s="35"/>
      <c r="J189" s="36" t="str">
        <f aca="false">IF(OR(G189="",I189=""),"",G189*I189)</f>
        <v/>
      </c>
      <c r="K189" s="33"/>
      <c r="L189" s="34"/>
      <c r="M189" s="33"/>
      <c r="N189" s="32"/>
      <c r="O189" s="33"/>
      <c r="P189" s="37" t="str">
        <f aca="true">IF(E189="","",IFERROR(INDEX(CatLife,MATCH(E189,Cats,0)),""))</f>
        <v/>
      </c>
      <c r="Q189" s="36" t="str">
        <f aca="false">IF(OR(J189="",P189="",P189=0),IF(J189="","",0),J189/P189)</f>
        <v/>
      </c>
      <c r="R189" s="36" t="str">
        <f aca="false">IF(OR(Q189="",L189=""),"",MIN(J189,Q189*MAX(0,CurYear-L189)))</f>
        <v/>
      </c>
      <c r="S189" s="36" t="str">
        <f aca="false">IF(R189="",IF(J189="","",J189),J189-R189)</f>
        <v/>
      </c>
      <c r="T189" s="32"/>
    </row>
    <row r="190" customFormat="false" ht="15" hidden="false" customHeight="false" outlineLevel="0" collapsed="false">
      <c r="A190" s="31" t="str">
        <f aca="false">IF(C190="","",ROW()-9)</f>
        <v/>
      </c>
      <c r="B190" s="31" t="str">
        <f aca="true">IF(OR(C190="",F190=""),"","HH-"&amp;INDEX(DeptCodes,MATCH(F190,Depts,0))&amp;"-"&amp;TEXT(COUNTIF(F$10:F190,F190),"000"))</f>
        <v/>
      </c>
      <c r="C190" s="32"/>
      <c r="D190" s="32"/>
      <c r="E190" s="33"/>
      <c r="F190" s="33"/>
      <c r="G190" s="34"/>
      <c r="H190" s="33"/>
      <c r="I190" s="35"/>
      <c r="J190" s="36" t="str">
        <f aca="false">IF(OR(G190="",I190=""),"",G190*I190)</f>
        <v/>
      </c>
      <c r="K190" s="33"/>
      <c r="L190" s="34"/>
      <c r="M190" s="33"/>
      <c r="N190" s="32"/>
      <c r="O190" s="33"/>
      <c r="P190" s="37" t="str">
        <f aca="true">IF(E190="","",IFERROR(INDEX(CatLife,MATCH(E190,Cats,0)),""))</f>
        <v/>
      </c>
      <c r="Q190" s="36" t="str">
        <f aca="false">IF(OR(J190="",P190="",P190=0),IF(J190="","",0),J190/P190)</f>
        <v/>
      </c>
      <c r="R190" s="36" t="str">
        <f aca="false">IF(OR(Q190="",L190=""),"",MIN(J190,Q190*MAX(0,CurYear-L190)))</f>
        <v/>
      </c>
      <c r="S190" s="36" t="str">
        <f aca="false">IF(R190="",IF(J190="","",J190),J190-R190)</f>
        <v/>
      </c>
      <c r="T190" s="32"/>
    </row>
    <row r="191" customFormat="false" ht="15" hidden="false" customHeight="false" outlineLevel="0" collapsed="false">
      <c r="A191" s="31" t="str">
        <f aca="false">IF(C191="","",ROW()-9)</f>
        <v/>
      </c>
      <c r="B191" s="31" t="str">
        <f aca="true">IF(OR(C191="",F191=""),"","HH-"&amp;INDEX(DeptCodes,MATCH(F191,Depts,0))&amp;"-"&amp;TEXT(COUNTIF(F$10:F191,F191),"000"))</f>
        <v/>
      </c>
      <c r="C191" s="32"/>
      <c r="D191" s="32"/>
      <c r="E191" s="33"/>
      <c r="F191" s="33"/>
      <c r="G191" s="34"/>
      <c r="H191" s="33"/>
      <c r="I191" s="35"/>
      <c r="J191" s="36" t="str">
        <f aca="false">IF(OR(G191="",I191=""),"",G191*I191)</f>
        <v/>
      </c>
      <c r="K191" s="33"/>
      <c r="L191" s="34"/>
      <c r="M191" s="33"/>
      <c r="N191" s="32"/>
      <c r="O191" s="33"/>
      <c r="P191" s="37" t="str">
        <f aca="true">IF(E191="","",IFERROR(INDEX(CatLife,MATCH(E191,Cats,0)),""))</f>
        <v/>
      </c>
      <c r="Q191" s="36" t="str">
        <f aca="false">IF(OR(J191="",P191="",P191=0),IF(J191="","",0),J191/P191)</f>
        <v/>
      </c>
      <c r="R191" s="36" t="str">
        <f aca="false">IF(OR(Q191="",L191=""),"",MIN(J191,Q191*MAX(0,CurYear-L191)))</f>
        <v/>
      </c>
      <c r="S191" s="36" t="str">
        <f aca="false">IF(R191="",IF(J191="","",J191),J191-R191)</f>
        <v/>
      </c>
      <c r="T191" s="32"/>
    </row>
    <row r="192" customFormat="false" ht="15" hidden="false" customHeight="false" outlineLevel="0" collapsed="false">
      <c r="A192" s="31" t="str">
        <f aca="false">IF(C192="","",ROW()-9)</f>
        <v/>
      </c>
      <c r="B192" s="31" t="str">
        <f aca="true">IF(OR(C192="",F192=""),"","HH-"&amp;INDEX(DeptCodes,MATCH(F192,Depts,0))&amp;"-"&amp;TEXT(COUNTIF(F$10:F192,F192),"000"))</f>
        <v/>
      </c>
      <c r="C192" s="32"/>
      <c r="D192" s="32"/>
      <c r="E192" s="33"/>
      <c r="F192" s="33"/>
      <c r="G192" s="34"/>
      <c r="H192" s="33"/>
      <c r="I192" s="35"/>
      <c r="J192" s="36" t="str">
        <f aca="false">IF(OR(G192="",I192=""),"",G192*I192)</f>
        <v/>
      </c>
      <c r="K192" s="33"/>
      <c r="L192" s="34"/>
      <c r="M192" s="33"/>
      <c r="N192" s="32"/>
      <c r="O192" s="33"/>
      <c r="P192" s="37" t="str">
        <f aca="true">IF(E192="","",IFERROR(INDEX(CatLife,MATCH(E192,Cats,0)),""))</f>
        <v/>
      </c>
      <c r="Q192" s="36" t="str">
        <f aca="false">IF(OR(J192="",P192="",P192=0),IF(J192="","",0),J192/P192)</f>
        <v/>
      </c>
      <c r="R192" s="36" t="str">
        <f aca="false">IF(OR(Q192="",L192=""),"",MIN(J192,Q192*MAX(0,CurYear-L192)))</f>
        <v/>
      </c>
      <c r="S192" s="36" t="str">
        <f aca="false">IF(R192="",IF(J192="","",J192),J192-R192)</f>
        <v/>
      </c>
      <c r="T192" s="32"/>
    </row>
    <row r="193" customFormat="false" ht="15" hidden="false" customHeight="false" outlineLevel="0" collapsed="false">
      <c r="A193" s="31" t="str">
        <f aca="false">IF(C193="","",ROW()-9)</f>
        <v/>
      </c>
      <c r="B193" s="31" t="str">
        <f aca="true">IF(OR(C193="",F193=""),"","HH-"&amp;INDEX(DeptCodes,MATCH(F193,Depts,0))&amp;"-"&amp;TEXT(COUNTIF(F$10:F193,F193),"000"))</f>
        <v/>
      </c>
      <c r="C193" s="32"/>
      <c r="D193" s="32"/>
      <c r="E193" s="33"/>
      <c r="F193" s="33"/>
      <c r="G193" s="34"/>
      <c r="H193" s="33"/>
      <c r="I193" s="35"/>
      <c r="J193" s="36" t="str">
        <f aca="false">IF(OR(G193="",I193=""),"",G193*I193)</f>
        <v/>
      </c>
      <c r="K193" s="33"/>
      <c r="L193" s="34"/>
      <c r="M193" s="33"/>
      <c r="N193" s="32"/>
      <c r="O193" s="33"/>
      <c r="P193" s="37" t="str">
        <f aca="true">IF(E193="","",IFERROR(INDEX(CatLife,MATCH(E193,Cats,0)),""))</f>
        <v/>
      </c>
      <c r="Q193" s="36" t="str">
        <f aca="false">IF(OR(J193="",P193="",P193=0),IF(J193="","",0),J193/P193)</f>
        <v/>
      </c>
      <c r="R193" s="36" t="str">
        <f aca="false">IF(OR(Q193="",L193=""),"",MIN(J193,Q193*MAX(0,CurYear-L193)))</f>
        <v/>
      </c>
      <c r="S193" s="36" t="str">
        <f aca="false">IF(R193="",IF(J193="","",J193),J193-R193)</f>
        <v/>
      </c>
      <c r="T193" s="32"/>
    </row>
    <row r="194" customFormat="false" ht="15" hidden="false" customHeight="false" outlineLevel="0" collapsed="false">
      <c r="A194" s="31" t="str">
        <f aca="false">IF(C194="","",ROW()-9)</f>
        <v/>
      </c>
      <c r="B194" s="31" t="str">
        <f aca="true">IF(OR(C194="",F194=""),"","HH-"&amp;INDEX(DeptCodes,MATCH(F194,Depts,0))&amp;"-"&amp;TEXT(COUNTIF(F$10:F194,F194),"000"))</f>
        <v/>
      </c>
      <c r="C194" s="32"/>
      <c r="D194" s="32"/>
      <c r="E194" s="33"/>
      <c r="F194" s="33"/>
      <c r="G194" s="34"/>
      <c r="H194" s="33"/>
      <c r="I194" s="35"/>
      <c r="J194" s="36" t="str">
        <f aca="false">IF(OR(G194="",I194=""),"",G194*I194)</f>
        <v/>
      </c>
      <c r="K194" s="33"/>
      <c r="L194" s="34"/>
      <c r="M194" s="33"/>
      <c r="N194" s="32"/>
      <c r="O194" s="33"/>
      <c r="P194" s="37" t="str">
        <f aca="true">IF(E194="","",IFERROR(INDEX(CatLife,MATCH(E194,Cats,0)),""))</f>
        <v/>
      </c>
      <c r="Q194" s="36" t="str">
        <f aca="false">IF(OR(J194="",P194="",P194=0),IF(J194="","",0),J194/P194)</f>
        <v/>
      </c>
      <c r="R194" s="36" t="str">
        <f aca="false">IF(OR(Q194="",L194=""),"",MIN(J194,Q194*MAX(0,CurYear-L194)))</f>
        <v/>
      </c>
      <c r="S194" s="36" t="str">
        <f aca="false">IF(R194="",IF(J194="","",J194),J194-R194)</f>
        <v/>
      </c>
      <c r="T194" s="32"/>
    </row>
    <row r="195" customFormat="false" ht="15" hidden="false" customHeight="false" outlineLevel="0" collapsed="false">
      <c r="A195" s="31" t="str">
        <f aca="false">IF(C195="","",ROW()-9)</f>
        <v/>
      </c>
      <c r="B195" s="31" t="str">
        <f aca="true">IF(OR(C195="",F195=""),"","HH-"&amp;INDEX(DeptCodes,MATCH(F195,Depts,0))&amp;"-"&amp;TEXT(COUNTIF(F$10:F195,F195),"000"))</f>
        <v/>
      </c>
      <c r="C195" s="32"/>
      <c r="D195" s="32"/>
      <c r="E195" s="33"/>
      <c r="F195" s="33"/>
      <c r="G195" s="34"/>
      <c r="H195" s="33"/>
      <c r="I195" s="35"/>
      <c r="J195" s="36" t="str">
        <f aca="false">IF(OR(G195="",I195=""),"",G195*I195)</f>
        <v/>
      </c>
      <c r="K195" s="33"/>
      <c r="L195" s="34"/>
      <c r="M195" s="33"/>
      <c r="N195" s="32"/>
      <c r="O195" s="33"/>
      <c r="P195" s="37" t="str">
        <f aca="true">IF(E195="","",IFERROR(INDEX(CatLife,MATCH(E195,Cats,0)),""))</f>
        <v/>
      </c>
      <c r="Q195" s="36" t="str">
        <f aca="false">IF(OR(J195="",P195="",P195=0),IF(J195="","",0),J195/P195)</f>
        <v/>
      </c>
      <c r="R195" s="36" t="str">
        <f aca="false">IF(OR(Q195="",L195=""),"",MIN(J195,Q195*MAX(0,CurYear-L195)))</f>
        <v/>
      </c>
      <c r="S195" s="36" t="str">
        <f aca="false">IF(R195="",IF(J195="","",J195),J195-R195)</f>
        <v/>
      </c>
      <c r="T195" s="32"/>
    </row>
    <row r="196" customFormat="false" ht="15" hidden="false" customHeight="false" outlineLevel="0" collapsed="false">
      <c r="A196" s="31" t="str">
        <f aca="false">IF(C196="","",ROW()-9)</f>
        <v/>
      </c>
      <c r="B196" s="31" t="str">
        <f aca="true">IF(OR(C196="",F196=""),"","HH-"&amp;INDEX(DeptCodes,MATCH(F196,Depts,0))&amp;"-"&amp;TEXT(COUNTIF(F$10:F196,F196),"000"))</f>
        <v/>
      </c>
      <c r="C196" s="32"/>
      <c r="D196" s="32"/>
      <c r="E196" s="33"/>
      <c r="F196" s="33"/>
      <c r="G196" s="34"/>
      <c r="H196" s="33"/>
      <c r="I196" s="35"/>
      <c r="J196" s="36" t="str">
        <f aca="false">IF(OR(G196="",I196=""),"",G196*I196)</f>
        <v/>
      </c>
      <c r="K196" s="33"/>
      <c r="L196" s="34"/>
      <c r="M196" s="33"/>
      <c r="N196" s="32"/>
      <c r="O196" s="33"/>
      <c r="P196" s="37" t="str">
        <f aca="true">IF(E196="","",IFERROR(INDEX(CatLife,MATCH(E196,Cats,0)),""))</f>
        <v/>
      </c>
      <c r="Q196" s="36" t="str">
        <f aca="false">IF(OR(J196="",P196="",P196=0),IF(J196="","",0),J196/P196)</f>
        <v/>
      </c>
      <c r="R196" s="36" t="str">
        <f aca="false">IF(OR(Q196="",L196=""),"",MIN(J196,Q196*MAX(0,CurYear-L196)))</f>
        <v/>
      </c>
      <c r="S196" s="36" t="str">
        <f aca="false">IF(R196="",IF(J196="","",J196),J196-R196)</f>
        <v/>
      </c>
      <c r="T196" s="32"/>
    </row>
    <row r="197" customFormat="false" ht="15" hidden="false" customHeight="false" outlineLevel="0" collapsed="false">
      <c r="A197" s="31" t="str">
        <f aca="false">IF(C197="","",ROW()-9)</f>
        <v/>
      </c>
      <c r="B197" s="31" t="str">
        <f aca="true">IF(OR(C197="",F197=""),"","HH-"&amp;INDEX(DeptCodes,MATCH(F197,Depts,0))&amp;"-"&amp;TEXT(COUNTIF(F$10:F197,F197),"000"))</f>
        <v/>
      </c>
      <c r="C197" s="32"/>
      <c r="D197" s="32"/>
      <c r="E197" s="33"/>
      <c r="F197" s="33"/>
      <c r="G197" s="34"/>
      <c r="H197" s="33"/>
      <c r="I197" s="35"/>
      <c r="J197" s="36" t="str">
        <f aca="false">IF(OR(G197="",I197=""),"",G197*I197)</f>
        <v/>
      </c>
      <c r="K197" s="33"/>
      <c r="L197" s="34"/>
      <c r="M197" s="33"/>
      <c r="N197" s="32"/>
      <c r="O197" s="33"/>
      <c r="P197" s="37" t="str">
        <f aca="true">IF(E197="","",IFERROR(INDEX(CatLife,MATCH(E197,Cats,0)),""))</f>
        <v/>
      </c>
      <c r="Q197" s="36" t="str">
        <f aca="false">IF(OR(J197="",P197="",P197=0),IF(J197="","",0),J197/P197)</f>
        <v/>
      </c>
      <c r="R197" s="36" t="str">
        <f aca="false">IF(OR(Q197="",L197=""),"",MIN(J197,Q197*MAX(0,CurYear-L197)))</f>
        <v/>
      </c>
      <c r="S197" s="36" t="str">
        <f aca="false">IF(R197="",IF(J197="","",J197),J197-R197)</f>
        <v/>
      </c>
      <c r="T197" s="32"/>
    </row>
    <row r="198" customFormat="false" ht="15" hidden="false" customHeight="false" outlineLevel="0" collapsed="false">
      <c r="A198" s="31" t="str">
        <f aca="false">IF(C198="","",ROW()-9)</f>
        <v/>
      </c>
      <c r="B198" s="31" t="str">
        <f aca="true">IF(OR(C198="",F198=""),"","HH-"&amp;INDEX(DeptCodes,MATCH(F198,Depts,0))&amp;"-"&amp;TEXT(COUNTIF(F$10:F198,F198),"000"))</f>
        <v/>
      </c>
      <c r="C198" s="32"/>
      <c r="D198" s="32"/>
      <c r="E198" s="33"/>
      <c r="F198" s="33"/>
      <c r="G198" s="34"/>
      <c r="H198" s="33"/>
      <c r="I198" s="35"/>
      <c r="J198" s="36" t="str">
        <f aca="false">IF(OR(G198="",I198=""),"",G198*I198)</f>
        <v/>
      </c>
      <c r="K198" s="33"/>
      <c r="L198" s="34"/>
      <c r="M198" s="33"/>
      <c r="N198" s="32"/>
      <c r="O198" s="33"/>
      <c r="P198" s="37" t="str">
        <f aca="true">IF(E198="","",IFERROR(INDEX(CatLife,MATCH(E198,Cats,0)),""))</f>
        <v/>
      </c>
      <c r="Q198" s="36" t="str">
        <f aca="false">IF(OR(J198="",P198="",P198=0),IF(J198="","",0),J198/P198)</f>
        <v/>
      </c>
      <c r="R198" s="36" t="str">
        <f aca="false">IF(OR(Q198="",L198=""),"",MIN(J198,Q198*MAX(0,CurYear-L198)))</f>
        <v/>
      </c>
      <c r="S198" s="36" t="str">
        <f aca="false">IF(R198="",IF(J198="","",J198),J198-R198)</f>
        <v/>
      </c>
      <c r="T198" s="32"/>
    </row>
    <row r="199" customFormat="false" ht="15" hidden="false" customHeight="false" outlineLevel="0" collapsed="false">
      <c r="A199" s="31" t="str">
        <f aca="false">IF(C199="","",ROW()-9)</f>
        <v/>
      </c>
      <c r="B199" s="31" t="str">
        <f aca="true">IF(OR(C199="",F199=""),"","HH-"&amp;INDEX(DeptCodes,MATCH(F199,Depts,0))&amp;"-"&amp;TEXT(COUNTIF(F$10:F199,F199),"000"))</f>
        <v/>
      </c>
      <c r="C199" s="32"/>
      <c r="D199" s="32"/>
      <c r="E199" s="33"/>
      <c r="F199" s="33"/>
      <c r="G199" s="34"/>
      <c r="H199" s="33"/>
      <c r="I199" s="35"/>
      <c r="J199" s="36" t="str">
        <f aca="false">IF(OR(G199="",I199=""),"",G199*I199)</f>
        <v/>
      </c>
      <c r="K199" s="33"/>
      <c r="L199" s="34"/>
      <c r="M199" s="33"/>
      <c r="N199" s="32"/>
      <c r="O199" s="33"/>
      <c r="P199" s="37" t="str">
        <f aca="true">IF(E199="","",IFERROR(INDEX(CatLife,MATCH(E199,Cats,0)),""))</f>
        <v/>
      </c>
      <c r="Q199" s="36" t="str">
        <f aca="false">IF(OR(J199="",P199="",P199=0),IF(J199="","",0),J199/P199)</f>
        <v/>
      </c>
      <c r="R199" s="36" t="str">
        <f aca="false">IF(OR(Q199="",L199=""),"",MIN(J199,Q199*MAX(0,CurYear-L199)))</f>
        <v/>
      </c>
      <c r="S199" s="36" t="str">
        <f aca="false">IF(R199="",IF(J199="","",J199),J199-R199)</f>
        <v/>
      </c>
      <c r="T199" s="32"/>
    </row>
    <row r="200" customFormat="false" ht="15" hidden="false" customHeight="false" outlineLevel="0" collapsed="false">
      <c r="A200" s="31" t="str">
        <f aca="false">IF(C200="","",ROW()-9)</f>
        <v/>
      </c>
      <c r="B200" s="31" t="str">
        <f aca="true">IF(OR(C200="",F200=""),"","HH-"&amp;INDEX(DeptCodes,MATCH(F200,Depts,0))&amp;"-"&amp;TEXT(COUNTIF(F$10:F200,F200),"000"))</f>
        <v/>
      </c>
      <c r="C200" s="32"/>
      <c r="D200" s="32"/>
      <c r="E200" s="33"/>
      <c r="F200" s="33"/>
      <c r="G200" s="34"/>
      <c r="H200" s="33"/>
      <c r="I200" s="35"/>
      <c r="J200" s="36" t="str">
        <f aca="false">IF(OR(G200="",I200=""),"",G200*I200)</f>
        <v/>
      </c>
      <c r="K200" s="33"/>
      <c r="L200" s="34"/>
      <c r="M200" s="33"/>
      <c r="N200" s="32"/>
      <c r="O200" s="33"/>
      <c r="P200" s="37" t="str">
        <f aca="true">IF(E200="","",IFERROR(INDEX(CatLife,MATCH(E200,Cats,0)),""))</f>
        <v/>
      </c>
      <c r="Q200" s="36" t="str">
        <f aca="false">IF(OR(J200="",P200="",P200=0),IF(J200="","",0),J200/P200)</f>
        <v/>
      </c>
      <c r="R200" s="36" t="str">
        <f aca="false">IF(OR(Q200="",L200=""),"",MIN(J200,Q200*MAX(0,CurYear-L200)))</f>
        <v/>
      </c>
      <c r="S200" s="36" t="str">
        <f aca="false">IF(R200="",IF(J200="","",J200),J200-R200)</f>
        <v/>
      </c>
      <c r="T200" s="32"/>
    </row>
    <row r="201" customFormat="false" ht="15" hidden="false" customHeight="false" outlineLevel="0" collapsed="false">
      <c r="A201" s="31" t="str">
        <f aca="false">IF(C201="","",ROW()-9)</f>
        <v/>
      </c>
      <c r="B201" s="31" t="str">
        <f aca="true">IF(OR(C201="",F201=""),"","HH-"&amp;INDEX(DeptCodes,MATCH(F201,Depts,0))&amp;"-"&amp;TEXT(COUNTIF(F$10:F201,F201),"000"))</f>
        <v/>
      </c>
      <c r="C201" s="32"/>
      <c r="D201" s="32"/>
      <c r="E201" s="33"/>
      <c r="F201" s="33"/>
      <c r="G201" s="34"/>
      <c r="H201" s="33"/>
      <c r="I201" s="35"/>
      <c r="J201" s="36" t="str">
        <f aca="false">IF(OR(G201="",I201=""),"",G201*I201)</f>
        <v/>
      </c>
      <c r="K201" s="33"/>
      <c r="L201" s="34"/>
      <c r="M201" s="33"/>
      <c r="N201" s="32"/>
      <c r="O201" s="33"/>
      <c r="P201" s="37" t="str">
        <f aca="true">IF(E201="","",IFERROR(INDEX(CatLife,MATCH(E201,Cats,0)),""))</f>
        <v/>
      </c>
      <c r="Q201" s="36" t="str">
        <f aca="false">IF(OR(J201="",P201="",P201=0),IF(J201="","",0),J201/P201)</f>
        <v/>
      </c>
      <c r="R201" s="36" t="str">
        <f aca="false">IF(OR(Q201="",L201=""),"",MIN(J201,Q201*MAX(0,CurYear-L201)))</f>
        <v/>
      </c>
      <c r="S201" s="36" t="str">
        <f aca="false">IF(R201="",IF(J201="","",J201),J201-R201)</f>
        <v/>
      </c>
      <c r="T201" s="32"/>
    </row>
    <row r="202" customFormat="false" ht="15" hidden="false" customHeight="false" outlineLevel="0" collapsed="false">
      <c r="A202" s="31" t="str">
        <f aca="false">IF(C202="","",ROW()-9)</f>
        <v/>
      </c>
      <c r="B202" s="31" t="str">
        <f aca="true">IF(OR(C202="",F202=""),"","HH-"&amp;INDEX(DeptCodes,MATCH(F202,Depts,0))&amp;"-"&amp;TEXT(COUNTIF(F$10:F202,F202),"000"))</f>
        <v/>
      </c>
      <c r="C202" s="32"/>
      <c r="D202" s="32"/>
      <c r="E202" s="33"/>
      <c r="F202" s="33"/>
      <c r="G202" s="34"/>
      <c r="H202" s="33"/>
      <c r="I202" s="35"/>
      <c r="J202" s="36" t="str">
        <f aca="false">IF(OR(G202="",I202=""),"",G202*I202)</f>
        <v/>
      </c>
      <c r="K202" s="33"/>
      <c r="L202" s="34"/>
      <c r="M202" s="33"/>
      <c r="N202" s="32"/>
      <c r="O202" s="33"/>
      <c r="P202" s="37" t="str">
        <f aca="true">IF(E202="","",IFERROR(INDEX(CatLife,MATCH(E202,Cats,0)),""))</f>
        <v/>
      </c>
      <c r="Q202" s="36" t="str">
        <f aca="false">IF(OR(J202="",P202="",P202=0),IF(J202="","",0),J202/P202)</f>
        <v/>
      </c>
      <c r="R202" s="36" t="str">
        <f aca="false">IF(OR(Q202="",L202=""),"",MIN(J202,Q202*MAX(0,CurYear-L202)))</f>
        <v/>
      </c>
      <c r="S202" s="36" t="str">
        <f aca="false">IF(R202="",IF(J202="","",J202),J202-R202)</f>
        <v/>
      </c>
      <c r="T202" s="32"/>
    </row>
    <row r="203" customFormat="false" ht="15" hidden="false" customHeight="false" outlineLevel="0" collapsed="false">
      <c r="A203" s="31" t="str">
        <f aca="false">IF(C203="","",ROW()-9)</f>
        <v/>
      </c>
      <c r="B203" s="31" t="str">
        <f aca="true">IF(OR(C203="",F203=""),"","HH-"&amp;INDEX(DeptCodes,MATCH(F203,Depts,0))&amp;"-"&amp;TEXT(COUNTIF(F$10:F203,F203),"000"))</f>
        <v/>
      </c>
      <c r="C203" s="32"/>
      <c r="D203" s="32"/>
      <c r="E203" s="33"/>
      <c r="F203" s="33"/>
      <c r="G203" s="34"/>
      <c r="H203" s="33"/>
      <c r="I203" s="35"/>
      <c r="J203" s="36" t="str">
        <f aca="false">IF(OR(G203="",I203=""),"",G203*I203)</f>
        <v/>
      </c>
      <c r="K203" s="33"/>
      <c r="L203" s="34"/>
      <c r="M203" s="33"/>
      <c r="N203" s="32"/>
      <c r="O203" s="33"/>
      <c r="P203" s="37" t="str">
        <f aca="true">IF(E203="","",IFERROR(INDEX(CatLife,MATCH(E203,Cats,0)),""))</f>
        <v/>
      </c>
      <c r="Q203" s="36" t="str">
        <f aca="false">IF(OR(J203="",P203="",P203=0),IF(J203="","",0),J203/P203)</f>
        <v/>
      </c>
      <c r="R203" s="36" t="str">
        <f aca="false">IF(OR(Q203="",L203=""),"",MIN(J203,Q203*MAX(0,CurYear-L203)))</f>
        <v/>
      </c>
      <c r="S203" s="36" t="str">
        <f aca="false">IF(R203="",IF(J203="","",J203),J203-R203)</f>
        <v/>
      </c>
      <c r="T203" s="32"/>
    </row>
    <row r="204" customFormat="false" ht="15" hidden="false" customHeight="false" outlineLevel="0" collapsed="false">
      <c r="A204" s="31" t="str">
        <f aca="false">IF(C204="","",ROW()-9)</f>
        <v/>
      </c>
      <c r="B204" s="31" t="str">
        <f aca="true">IF(OR(C204="",F204=""),"","HH-"&amp;INDEX(DeptCodes,MATCH(F204,Depts,0))&amp;"-"&amp;TEXT(COUNTIF(F$10:F204,F204),"000"))</f>
        <v/>
      </c>
      <c r="C204" s="32"/>
      <c r="D204" s="32"/>
      <c r="E204" s="33"/>
      <c r="F204" s="33"/>
      <c r="G204" s="34"/>
      <c r="H204" s="33"/>
      <c r="I204" s="35"/>
      <c r="J204" s="36" t="str">
        <f aca="false">IF(OR(G204="",I204=""),"",G204*I204)</f>
        <v/>
      </c>
      <c r="K204" s="33"/>
      <c r="L204" s="34"/>
      <c r="M204" s="33"/>
      <c r="N204" s="32"/>
      <c r="O204" s="33"/>
      <c r="P204" s="37" t="str">
        <f aca="true">IF(E204="","",IFERROR(INDEX(CatLife,MATCH(E204,Cats,0)),""))</f>
        <v/>
      </c>
      <c r="Q204" s="36" t="str">
        <f aca="false">IF(OR(J204="",P204="",P204=0),IF(J204="","",0),J204/P204)</f>
        <v/>
      </c>
      <c r="R204" s="36" t="str">
        <f aca="false">IF(OR(Q204="",L204=""),"",MIN(J204,Q204*MAX(0,CurYear-L204)))</f>
        <v/>
      </c>
      <c r="S204" s="36" t="str">
        <f aca="false">IF(R204="",IF(J204="","",J204),J204-R204)</f>
        <v/>
      </c>
      <c r="T204" s="32"/>
    </row>
    <row r="205" customFormat="false" ht="15" hidden="false" customHeight="false" outlineLevel="0" collapsed="false">
      <c r="A205" s="31" t="str">
        <f aca="false">IF(C205="","",ROW()-9)</f>
        <v/>
      </c>
      <c r="B205" s="31" t="str">
        <f aca="true">IF(OR(C205="",F205=""),"","HH-"&amp;INDEX(DeptCodes,MATCH(F205,Depts,0))&amp;"-"&amp;TEXT(COUNTIF(F$10:F205,F205),"000"))</f>
        <v/>
      </c>
      <c r="C205" s="32"/>
      <c r="D205" s="32"/>
      <c r="E205" s="33"/>
      <c r="F205" s="33"/>
      <c r="G205" s="34"/>
      <c r="H205" s="33"/>
      <c r="I205" s="35"/>
      <c r="J205" s="36" t="str">
        <f aca="false">IF(OR(G205="",I205=""),"",G205*I205)</f>
        <v/>
      </c>
      <c r="K205" s="33"/>
      <c r="L205" s="34"/>
      <c r="M205" s="33"/>
      <c r="N205" s="32"/>
      <c r="O205" s="33"/>
      <c r="P205" s="37" t="str">
        <f aca="true">IF(E205="","",IFERROR(INDEX(CatLife,MATCH(E205,Cats,0)),""))</f>
        <v/>
      </c>
      <c r="Q205" s="36" t="str">
        <f aca="false">IF(OR(J205="",P205="",P205=0),IF(J205="","",0),J205/P205)</f>
        <v/>
      </c>
      <c r="R205" s="36" t="str">
        <f aca="false">IF(OR(Q205="",L205=""),"",MIN(J205,Q205*MAX(0,CurYear-L205)))</f>
        <v/>
      </c>
      <c r="S205" s="36" t="str">
        <f aca="false">IF(R205="",IF(J205="","",J205),J205-R205)</f>
        <v/>
      </c>
      <c r="T205" s="32"/>
    </row>
    <row r="206" customFormat="false" ht="15" hidden="false" customHeight="false" outlineLevel="0" collapsed="false">
      <c r="A206" s="31" t="str">
        <f aca="false">IF(C206="","",ROW()-9)</f>
        <v/>
      </c>
      <c r="B206" s="31" t="str">
        <f aca="true">IF(OR(C206="",F206=""),"","HH-"&amp;INDEX(DeptCodes,MATCH(F206,Depts,0))&amp;"-"&amp;TEXT(COUNTIF(F$10:F206,F206),"000"))</f>
        <v/>
      </c>
      <c r="C206" s="32"/>
      <c r="D206" s="32"/>
      <c r="E206" s="33"/>
      <c r="F206" s="33"/>
      <c r="G206" s="34"/>
      <c r="H206" s="33"/>
      <c r="I206" s="35"/>
      <c r="J206" s="36" t="str">
        <f aca="false">IF(OR(G206="",I206=""),"",G206*I206)</f>
        <v/>
      </c>
      <c r="K206" s="33"/>
      <c r="L206" s="34"/>
      <c r="M206" s="33"/>
      <c r="N206" s="32"/>
      <c r="O206" s="33"/>
      <c r="P206" s="37" t="str">
        <f aca="true">IF(E206="","",IFERROR(INDEX(CatLife,MATCH(E206,Cats,0)),""))</f>
        <v/>
      </c>
      <c r="Q206" s="36" t="str">
        <f aca="false">IF(OR(J206="",P206="",P206=0),IF(J206="","",0),J206/P206)</f>
        <v/>
      </c>
      <c r="R206" s="36" t="str">
        <f aca="false">IF(OR(Q206="",L206=""),"",MIN(J206,Q206*MAX(0,CurYear-L206)))</f>
        <v/>
      </c>
      <c r="S206" s="36" t="str">
        <f aca="false">IF(R206="",IF(J206="","",J206),J206-R206)</f>
        <v/>
      </c>
      <c r="T206" s="32"/>
    </row>
    <row r="207" customFormat="false" ht="15" hidden="false" customHeight="false" outlineLevel="0" collapsed="false">
      <c r="A207" s="31" t="str">
        <f aca="false">IF(C207="","",ROW()-9)</f>
        <v/>
      </c>
      <c r="B207" s="31" t="str">
        <f aca="true">IF(OR(C207="",F207=""),"","HH-"&amp;INDEX(DeptCodes,MATCH(F207,Depts,0))&amp;"-"&amp;TEXT(COUNTIF(F$10:F207,F207),"000"))</f>
        <v/>
      </c>
      <c r="C207" s="32"/>
      <c r="D207" s="32"/>
      <c r="E207" s="33"/>
      <c r="F207" s="33"/>
      <c r="G207" s="34"/>
      <c r="H207" s="33"/>
      <c r="I207" s="35"/>
      <c r="J207" s="36" t="str">
        <f aca="false">IF(OR(G207="",I207=""),"",G207*I207)</f>
        <v/>
      </c>
      <c r="K207" s="33"/>
      <c r="L207" s="34"/>
      <c r="M207" s="33"/>
      <c r="N207" s="32"/>
      <c r="O207" s="33"/>
      <c r="P207" s="37" t="str">
        <f aca="true">IF(E207="","",IFERROR(INDEX(CatLife,MATCH(E207,Cats,0)),""))</f>
        <v/>
      </c>
      <c r="Q207" s="36" t="str">
        <f aca="false">IF(OR(J207="",P207="",P207=0),IF(J207="","",0),J207/P207)</f>
        <v/>
      </c>
      <c r="R207" s="36" t="str">
        <f aca="false">IF(OR(Q207="",L207=""),"",MIN(J207,Q207*MAX(0,CurYear-L207)))</f>
        <v/>
      </c>
      <c r="S207" s="36" t="str">
        <f aca="false">IF(R207="",IF(J207="","",J207),J207-R207)</f>
        <v/>
      </c>
      <c r="T207" s="32"/>
    </row>
    <row r="208" customFormat="false" ht="15" hidden="false" customHeight="false" outlineLevel="0" collapsed="false">
      <c r="A208" s="31" t="str">
        <f aca="false">IF(C208="","",ROW()-9)</f>
        <v/>
      </c>
      <c r="B208" s="31" t="str">
        <f aca="true">IF(OR(C208="",F208=""),"","HH-"&amp;INDEX(DeptCodes,MATCH(F208,Depts,0))&amp;"-"&amp;TEXT(COUNTIF(F$10:F208,F208),"000"))</f>
        <v/>
      </c>
      <c r="C208" s="32"/>
      <c r="D208" s="32"/>
      <c r="E208" s="33"/>
      <c r="F208" s="33"/>
      <c r="G208" s="34"/>
      <c r="H208" s="33"/>
      <c r="I208" s="35"/>
      <c r="J208" s="36" t="str">
        <f aca="false">IF(OR(G208="",I208=""),"",G208*I208)</f>
        <v/>
      </c>
      <c r="K208" s="33"/>
      <c r="L208" s="34"/>
      <c r="M208" s="33"/>
      <c r="N208" s="32"/>
      <c r="O208" s="33"/>
      <c r="P208" s="37" t="str">
        <f aca="true">IF(E208="","",IFERROR(INDEX(CatLife,MATCH(E208,Cats,0)),""))</f>
        <v/>
      </c>
      <c r="Q208" s="36" t="str">
        <f aca="false">IF(OR(J208="",P208="",P208=0),IF(J208="","",0),J208/P208)</f>
        <v/>
      </c>
      <c r="R208" s="36" t="str">
        <f aca="false">IF(OR(Q208="",L208=""),"",MIN(J208,Q208*MAX(0,CurYear-L208)))</f>
        <v/>
      </c>
      <c r="S208" s="36" t="str">
        <f aca="false">IF(R208="",IF(J208="","",J208),J208-R208)</f>
        <v/>
      </c>
      <c r="T208" s="32"/>
    </row>
    <row r="209" customFormat="false" ht="15" hidden="false" customHeight="false" outlineLevel="0" collapsed="false">
      <c r="A209" s="31" t="str">
        <f aca="false">IF(C209="","",ROW()-9)</f>
        <v/>
      </c>
      <c r="B209" s="31" t="str">
        <f aca="true">IF(OR(C209="",F209=""),"","HH-"&amp;INDEX(DeptCodes,MATCH(F209,Depts,0))&amp;"-"&amp;TEXT(COUNTIF(F$10:F209,F209),"000"))</f>
        <v/>
      </c>
      <c r="C209" s="32"/>
      <c r="D209" s="32"/>
      <c r="E209" s="33"/>
      <c r="F209" s="33"/>
      <c r="G209" s="34"/>
      <c r="H209" s="33"/>
      <c r="I209" s="35"/>
      <c r="J209" s="36" t="str">
        <f aca="false">IF(OR(G209="",I209=""),"",G209*I209)</f>
        <v/>
      </c>
      <c r="K209" s="33"/>
      <c r="L209" s="34"/>
      <c r="M209" s="33"/>
      <c r="N209" s="32"/>
      <c r="O209" s="33"/>
      <c r="P209" s="37" t="str">
        <f aca="true">IF(E209="","",IFERROR(INDEX(CatLife,MATCH(E209,Cats,0)),""))</f>
        <v/>
      </c>
      <c r="Q209" s="36" t="str">
        <f aca="false">IF(OR(J209="",P209="",P209=0),IF(J209="","",0),J209/P209)</f>
        <v/>
      </c>
      <c r="R209" s="36" t="str">
        <f aca="false">IF(OR(Q209="",L209=""),"",MIN(J209,Q209*MAX(0,CurYear-L209)))</f>
        <v/>
      </c>
      <c r="S209" s="36" t="str">
        <f aca="false">IF(R209="",IF(J209="","",J209),J209-R209)</f>
        <v/>
      </c>
      <c r="T209" s="32"/>
    </row>
    <row r="210" customFormat="false" ht="15" hidden="false" customHeight="false" outlineLevel="0" collapsed="false">
      <c r="C210" s="38" t="s">
        <v>116</v>
      </c>
      <c r="G210" s="39" t="n">
        <f aca="false">SUM(G10:G209)</f>
        <v>0</v>
      </c>
      <c r="J210" s="39" t="n">
        <f aca="false">SUM(J10:J209)</f>
        <v>0</v>
      </c>
      <c r="Q210" s="39" t="n">
        <f aca="false">SUM(Q10:Q209)</f>
        <v>0</v>
      </c>
      <c r="R210" s="39" t="n">
        <f aca="false">SUM(R10:R209)</f>
        <v>0</v>
      </c>
      <c r="S210" s="39" t="n">
        <f aca="false">SUM(S10:S209)</f>
        <v>0</v>
      </c>
    </row>
  </sheetData>
  <sheetProtection sheet="true" password="d81c" formatColumns="false" formatRows="false" autoFilter="false"/>
  <autoFilter ref="A8:T209"/>
  <mergeCells count="9">
    <mergeCell ref="A1:T1"/>
    <mergeCell ref="A2:T2"/>
    <mergeCell ref="A3:T3"/>
    <mergeCell ref="E4:G4"/>
    <mergeCell ref="L4:N4"/>
    <mergeCell ref="E5:G5"/>
    <mergeCell ref="L5:N5"/>
    <mergeCell ref="E6:G6"/>
    <mergeCell ref="L6:N6"/>
  </mergeCells>
  <conditionalFormatting sqref="M10:M209">
    <cfRule type="expression" priority="2" aboveAverage="0" equalAverage="0" bottom="0" percent="0" rank="0" text="" dxfId="7">
      <formula>OR(M10="የተበላሸ",M10="የጠፋ")</formula>
    </cfRule>
    <cfRule type="expression" priority="3" aboveAverage="0" equalAverage="0" bottom="0" percent="0" rank="0" text="" dxfId="8">
      <formula>M10="ጥገና ያስፈልገዋል"</formula>
    </cfRule>
  </conditionalFormatting>
  <dataValidations count="7">
    <dataValidation allowBlank="true" error="እባክዎ ከዝርዝሩ ውስጥ ይምረጡ።" errorStyle="stop" errorTitle="ከዝርዝሩ ይምረጡ" operator="between" prompt="ምድቡን ይምረጡ" promptTitle="ምርጫ" showDropDown="false" showErrorMessage="true" showInputMessage="true" sqref="E10:E209" type="list">
      <formula1>Cats</formula1>
      <formula2>0</formula2>
    </dataValidation>
    <dataValidation allowBlank="true" error="እባክዎ ከዝርዝሩ ውስጥ ይምረጡ።" errorStyle="stop" errorTitle="ከዝርዝሩ ይምረጡ" operator="between" prompt="ንብረቱ የማን ክፍል ነው?" promptTitle="ምርጫ" showDropDown="false" showErrorMessage="true" showInputMessage="true" sqref="F10:F209" type="list">
      <formula1>Depts</formula1>
      <formula2>0</formula2>
    </dataValidation>
    <dataValidation allowBlank="true" error="እባክዎ ከዝርዝሩ ውስጥ ይምረጡ።" errorStyle="stop" errorTitle="ከዝርዝሩ ይምረጡ" operator="between" prompt="ክፍልዎን ይምረጡ" promptTitle="ምርጫ" showDropDown="false" showErrorMessage="true" showInputMessage="true" sqref="E4" type="list">
      <formula1>Depts</formula1>
      <formula2>0</formula2>
    </dataValidation>
    <dataValidation allowBlank="true" error="እባክዎ ከዝርዝሩ ውስጥ ይምረጡ።" errorStyle="stop" errorTitle="ከዝርዝሩ ይምረጡ" operator="between" prompt="መለኪያ" promptTitle="ምርጫ" showDropDown="false" showErrorMessage="true" showInputMessage="true" sqref="H10:H209" type="list">
      <formula1>Units</formula1>
      <formula2>0</formula2>
    </dataValidation>
    <dataValidation allowBlank="true" error="እባክዎ ከዝርዝሩ ውስጥ ይምረጡ።" errorStyle="stop" errorTitle="ከዝርዝሩ ይምረጡ" operator="between" prompt="እንዴት ተገኘ?" promptTitle="ምርጫ" showDropDown="false" showErrorMessage="true" showInputMessage="true" sqref="K10:K209" type="list">
      <formula1>Sources</formula1>
      <formula2>0</formula2>
    </dataValidation>
    <dataValidation allowBlank="true" error="እባክዎ ከዝርዝሩ ውስጥ ይምረጡ።" errorStyle="stop" errorTitle="ከዝርዝሩ ይምረጡ" operator="between" prompt="አሁን ያለበት ሁኔታ" promptTitle="ምርጫ" showDropDown="false" showErrorMessage="true" showInputMessage="true" sqref="M10:M209" type="list">
      <formula1>Conds</formula1>
      <formula2>0</formula2>
    </dataValidation>
    <dataValidation allowBlank="true" error="ዓመቱን በኢትዮጵያ አቆጣጠር በ4 አሃዝ ይጻፉ (ለምሳሌ 2017)።" errorStyle="stop" operator="between" showDropDown="false" showErrorMessage="true" showInputMessage="false" sqref="L10:L209" type="whole">
      <formula1>1900</formula1>
      <formula2>2100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18"/>
    <col collapsed="false" customWidth="true" hidden="false" outlineLevel="0" max="6" min="6" style="0" width="16"/>
  </cols>
  <sheetData>
    <row r="1" customFormat="false" ht="27.75" hidden="false" customHeight="true" outlineLevel="0" collapsed="false">
      <c r="A1" s="40" t="s">
        <v>117</v>
      </c>
      <c r="B1" s="40"/>
      <c r="C1" s="40"/>
      <c r="D1" s="40"/>
      <c r="E1" s="40"/>
      <c r="F1" s="40"/>
    </row>
    <row r="3" customFormat="false" ht="16.4" hidden="false" customHeight="false" outlineLevel="0" collapsed="false">
      <c r="A3" s="41" t="s">
        <v>30</v>
      </c>
      <c r="B3" s="41" t="s">
        <v>118</v>
      </c>
      <c r="C3" s="41" t="s">
        <v>119</v>
      </c>
      <c r="D3" s="41" t="s">
        <v>120</v>
      </c>
      <c r="E3" s="41" t="s">
        <v>121</v>
      </c>
      <c r="F3" s="41" t="s">
        <v>122</v>
      </c>
    </row>
    <row r="4" customFormat="false" ht="15" hidden="false" customHeight="false" outlineLevel="0" collapsed="false">
      <c r="A4" s="42" t="str">
        <f aca="false">IF(ዝርዝሮች!A6="","",ዝርዝሮች!A6)</f>
        <v>ትምህርት ክፍል</v>
      </c>
      <c r="B4" s="42" t="n">
        <f aca="false">IF(A4="","",COUNTIFS('የንብረት መዝገብ'!$F$10:$F$209,A4,'የንብረት መዝገብ'!$C$10:$C$209,"&lt;&gt;"))</f>
        <v>0</v>
      </c>
      <c r="C4" s="43" t="n">
        <f aca="false">IF(A4="","",SUMIFS('የንብረት መዝገብ'!$G$10:$G$209,'የንብረት መዝገብ'!$F$10:$F$209,A4))</f>
        <v>0</v>
      </c>
      <c r="D4" s="43" t="n">
        <f aca="false">IF(A4="","",SUMIFS('የንብረት መዝገብ'!$J$10:$J$209,'የንብረት መዝገብ'!$F$10:$F$209,A4))</f>
        <v>0</v>
      </c>
      <c r="E4" s="43" t="n">
        <f aca="false">IF(A4="","",SUMIFS('የንብረት መዝገብ'!$S$10:$S$209,'የንብረት መዝገብ'!$F$10:$F$209,A4))</f>
        <v>0</v>
      </c>
      <c r="F4" s="42" t="n">
        <f aca="false">IF(A4="","",COUNTIFS('የንብረት መዝገብ'!$F$10:$F$209,A4,'የንብረት መዝገብ'!$M$10:$M$209,"የተበላሸ")+COUNTIFS('የንብረት መዝገብ'!$F$10:$F$209,A4,'የንብረት መዝገብ'!$M$10:$M$209,"የጠፋ"))</f>
        <v>0</v>
      </c>
    </row>
    <row r="5" customFormat="false" ht="15" hidden="false" customHeight="false" outlineLevel="0" collapsed="false">
      <c r="A5" s="15" t="str">
        <f aca="false">IF(ዝርዝሮች!A7="","",ዝርዝሮች!A7)</f>
        <v>መዝሙር ክፍል</v>
      </c>
      <c r="B5" s="15" t="n">
        <f aca="false">IF(A5="","",COUNTIFS('የንብረት መዝገብ'!$F$10:$F$209,A5,'የንብረት መዝገብ'!$C$10:$C$209,"&lt;&gt;"))</f>
        <v>0</v>
      </c>
      <c r="C5" s="44" t="n">
        <f aca="false">IF(A5="","",SUMIFS('የንብረት መዝገብ'!$G$10:$G$209,'የንብረት መዝገብ'!$F$10:$F$209,A5))</f>
        <v>0</v>
      </c>
      <c r="D5" s="44" t="n">
        <f aca="false">IF(A5="","",SUMIFS('የንብረት መዝገብ'!$J$10:$J$209,'የንብረት መዝገብ'!$F$10:$F$209,A5))</f>
        <v>0</v>
      </c>
      <c r="E5" s="44" t="n">
        <f aca="false">IF(A5="","",SUMIFS('የንብረት መዝገብ'!$S$10:$S$209,'የንብረት መዝገብ'!$F$10:$F$209,A5))</f>
        <v>0</v>
      </c>
      <c r="F5" s="15" t="n">
        <f aca="false">IF(A5="","",COUNTIFS('የንብረት መዝገብ'!$F$10:$F$209,A5,'የንብረት መዝገብ'!$M$10:$M$209,"የተበላሸ")+COUNTIFS('የንብረት መዝገብ'!$F$10:$F$209,A5,'የንብረት መዝገብ'!$M$10:$M$209,"የጠፋ"))</f>
        <v>0</v>
      </c>
    </row>
    <row r="6" customFormat="false" ht="15" hidden="false" customHeight="false" outlineLevel="0" collapsed="false">
      <c r="A6" s="42" t="str">
        <f aca="false">IF(ዝርዝሮች!A8="","",ዝርዝሮች!A8)</f>
        <v>ኪነ ጥበብ ክፍል</v>
      </c>
      <c r="B6" s="42" t="n">
        <f aca="false">IF(A6="","",COUNTIFS('የንብረት መዝገብ'!$F$10:$F$209,A6,'የንብረት መዝገብ'!$C$10:$C$209,"&lt;&gt;"))</f>
        <v>0</v>
      </c>
      <c r="C6" s="43" t="n">
        <f aca="false">IF(A6="","",SUMIFS('የንብረት መዝገብ'!$G$10:$G$209,'የንብረት መዝገብ'!$F$10:$F$209,A6))</f>
        <v>0</v>
      </c>
      <c r="D6" s="43" t="n">
        <f aca="false">IF(A6="","",SUMIFS('የንብረት መዝገብ'!$J$10:$J$209,'የንብረት መዝገብ'!$F$10:$F$209,A6))</f>
        <v>0</v>
      </c>
      <c r="E6" s="43" t="n">
        <f aca="false">IF(A6="","",SUMIFS('የንብረት መዝገብ'!$S$10:$S$209,'የንብረት መዝገብ'!$F$10:$F$209,A6))</f>
        <v>0</v>
      </c>
      <c r="F6" s="42" t="n">
        <f aca="false">IF(A6="","",COUNTIFS('የንብረት መዝገብ'!$F$10:$F$209,A6,'የንብረት መዝገብ'!$M$10:$M$209,"የተበላሸ")+COUNTIFS('የንብረት መዝገብ'!$F$10:$F$209,A6,'የንብረት መዝገብ'!$M$10:$M$209,"የጠፋ"))</f>
        <v>0</v>
      </c>
    </row>
    <row r="7" customFormat="false" ht="15" hidden="false" customHeight="false" outlineLevel="0" collapsed="false">
      <c r="A7" s="15" t="str">
        <f aca="false">IF(ዝርዝሮች!A9="","",ዝርዝሮች!A9)</f>
        <v>ሕጻናት ክፍል</v>
      </c>
      <c r="B7" s="15" t="n">
        <f aca="false">IF(A7="","",COUNTIFS('የንብረት መዝገብ'!$F$10:$F$209,A7,'የንብረት መዝገብ'!$C$10:$C$209,"&lt;&gt;"))</f>
        <v>0</v>
      </c>
      <c r="C7" s="44" t="n">
        <f aca="false">IF(A7="","",SUMIFS('የንብረት መዝገብ'!$G$10:$G$209,'የንብረት መዝገብ'!$F$10:$F$209,A7))</f>
        <v>0</v>
      </c>
      <c r="D7" s="44" t="n">
        <f aca="false">IF(A7="","",SUMIFS('የንብረት መዝገብ'!$J$10:$J$209,'የንብረት መዝገብ'!$F$10:$F$209,A7))</f>
        <v>0</v>
      </c>
      <c r="E7" s="44" t="n">
        <f aca="false">IF(A7="","",SUMIFS('የንብረት መዝገብ'!$S$10:$S$209,'የንብረት መዝገብ'!$F$10:$F$209,A7))</f>
        <v>0</v>
      </c>
      <c r="F7" s="15" t="n">
        <f aca="false">IF(A7="","",COUNTIFS('የንብረት መዝገብ'!$F$10:$F$209,A7,'የንብረት መዝገብ'!$M$10:$M$209,"የተበላሸ")+COUNTIFS('የንብረት መዝገብ'!$F$10:$F$209,A7,'የንብረት መዝገብ'!$M$10:$M$209,"የጠፋ"))</f>
        <v>0</v>
      </c>
    </row>
    <row r="8" customFormat="false" ht="15" hidden="false" customHeight="false" outlineLevel="0" collapsed="false">
      <c r="A8" s="42" t="str">
        <f aca="false">IF(ዝርዝሮች!A10="","",ዝርዝሮች!A10)</f>
        <v>አባላት ጉዳይ ክፍል</v>
      </c>
      <c r="B8" s="42" t="n">
        <f aca="false">IF(A8="","",COUNTIFS('የንብረት መዝገብ'!$F$10:$F$209,A8,'የንብረት መዝገብ'!$C$10:$C$209,"&lt;&gt;"))</f>
        <v>0</v>
      </c>
      <c r="C8" s="43" t="n">
        <f aca="false">IF(A8="","",SUMIFS('የንብረት መዝገብ'!$G$10:$G$209,'የንብረት መዝገብ'!$F$10:$F$209,A8))</f>
        <v>0</v>
      </c>
      <c r="D8" s="43" t="n">
        <f aca="false">IF(A8="","",SUMIFS('የንብረት መዝገብ'!$J$10:$J$209,'የንብረት መዝገብ'!$F$10:$F$209,A8))</f>
        <v>0</v>
      </c>
      <c r="E8" s="43" t="n">
        <f aca="false">IF(A8="","",SUMIFS('የንብረት መዝገብ'!$S$10:$S$209,'የንብረት መዝገብ'!$F$10:$F$209,A8))</f>
        <v>0</v>
      </c>
      <c r="F8" s="42" t="n">
        <f aca="false">IF(A8="","",COUNTIFS('የንብረት መዝገብ'!$F$10:$F$209,A8,'የንብረት መዝገብ'!$M$10:$M$209,"የተበላሸ")+COUNTIFS('የንብረት መዝገብ'!$F$10:$F$209,A8,'የንብረት መዝገብ'!$M$10:$M$209,"የጠፋ"))</f>
        <v>0</v>
      </c>
    </row>
    <row r="9" customFormat="false" ht="15" hidden="false" customHeight="false" outlineLevel="0" collapsed="false">
      <c r="A9" s="15" t="str">
        <f aca="false">IF(ዝርዝሮች!A11="","",ዝርዝሮች!A11)</f>
        <v>ልማትና ገቢ ማስገኛ ክፍል</v>
      </c>
      <c r="B9" s="15" t="n">
        <f aca="false">IF(A9="","",COUNTIFS('የንብረት መዝገብ'!$F$10:$F$209,A9,'የንብረት መዝገብ'!$C$10:$C$209,"&lt;&gt;"))</f>
        <v>0</v>
      </c>
      <c r="C9" s="44" t="n">
        <f aca="false">IF(A9="","",SUMIFS('የንብረት መዝገብ'!$G$10:$G$209,'የንብረት መዝገብ'!$F$10:$F$209,A9))</f>
        <v>0</v>
      </c>
      <c r="D9" s="44" t="n">
        <f aca="false">IF(A9="","",SUMIFS('የንብረት መዝገብ'!$J$10:$J$209,'የንብረት መዝገብ'!$F$10:$F$209,A9))</f>
        <v>0</v>
      </c>
      <c r="E9" s="44" t="n">
        <f aca="false">IF(A9="","",SUMIFS('የንብረት መዝገብ'!$S$10:$S$209,'የንብረት መዝገብ'!$F$10:$F$209,A9))</f>
        <v>0</v>
      </c>
      <c r="F9" s="15" t="n">
        <f aca="false">IF(A9="","",COUNTIFS('የንብረት መዝገብ'!$F$10:$F$209,A9,'የንብረት መዝገብ'!$M$10:$M$209,"የተበላሸ")+COUNTIFS('የንብረት መዝገብ'!$F$10:$F$209,A9,'የንብረት መዝገብ'!$M$10:$M$209,"የጠፋ"))</f>
        <v>0</v>
      </c>
    </row>
    <row r="10" customFormat="false" ht="15" hidden="false" customHeight="false" outlineLevel="0" collapsed="false">
      <c r="A10" s="42" t="str">
        <f aca="false">IF(ዝርዝሮች!A12="","",ዝርዝሮች!A12)</f>
        <v>ሚዲያና ቴክኖሎጂ ክፍል</v>
      </c>
      <c r="B10" s="42" t="n">
        <f aca="false">IF(A10="","",COUNTIFS('የንብረት መዝገብ'!$F$10:$F$209,A10,'የንብረት መዝገብ'!$C$10:$C$209,"&lt;&gt;"))</f>
        <v>0</v>
      </c>
      <c r="C10" s="43" t="n">
        <f aca="false">IF(A10="","",SUMIFS('የንብረት መዝገብ'!$G$10:$G$209,'የንብረት መዝገብ'!$F$10:$F$209,A10))</f>
        <v>0</v>
      </c>
      <c r="D10" s="43" t="n">
        <f aca="false">IF(A10="","",SUMIFS('የንብረት መዝገብ'!$J$10:$J$209,'የንብረት መዝገብ'!$F$10:$F$209,A10))</f>
        <v>0</v>
      </c>
      <c r="E10" s="43" t="n">
        <f aca="false">IF(A10="","",SUMIFS('የንብረት መዝገብ'!$S$10:$S$209,'የንብረት መዝገብ'!$F$10:$F$209,A10))</f>
        <v>0</v>
      </c>
      <c r="F10" s="42" t="n">
        <f aca="false">IF(A10="","",COUNTIFS('የንብረት መዝገብ'!$F$10:$F$209,A10,'የንብረት መዝገብ'!$M$10:$M$209,"የተበላሸ")+COUNTIFS('የንብረት መዝገብ'!$F$10:$F$209,A10,'የንብረት መዝገብ'!$M$10:$M$209,"የጠፋ"))</f>
        <v>0</v>
      </c>
    </row>
    <row r="11" customFormat="false" ht="15" hidden="false" customHeight="false" outlineLevel="0" collapsed="false">
      <c r="A11" s="15" t="str">
        <f aca="false">IF(ዝርዝሮች!A13="","",ዝርዝሮች!A13)</f>
        <v>ሒሳብና ንብረት ክፍል</v>
      </c>
      <c r="B11" s="15" t="n">
        <f aca="false">IF(A11="","",COUNTIFS('የንብረት መዝገብ'!$F$10:$F$209,A11,'የንብረት መዝገብ'!$C$10:$C$209,"&lt;&gt;"))</f>
        <v>0</v>
      </c>
      <c r="C11" s="44" t="n">
        <f aca="false">IF(A11="","",SUMIFS('የንብረት መዝገብ'!$G$10:$G$209,'የንብረት መዝገብ'!$F$10:$F$209,A11))</f>
        <v>0</v>
      </c>
      <c r="D11" s="44" t="n">
        <f aca="false">IF(A11="","",SUMIFS('የንብረት መዝገብ'!$J$10:$J$209,'የንብረት መዝገብ'!$F$10:$F$209,A11))</f>
        <v>0</v>
      </c>
      <c r="E11" s="44" t="n">
        <f aca="false">IF(A11="","",SUMIFS('የንብረት መዝገብ'!$S$10:$S$209,'የንብረት መዝገብ'!$F$10:$F$209,A11))</f>
        <v>0</v>
      </c>
      <c r="F11" s="15" t="n">
        <f aca="false">IF(A11="","",COUNTIFS('የንብረት መዝገብ'!$F$10:$F$209,A11,'የንብረት መዝገብ'!$M$10:$M$209,"የተበላሸ")+COUNTIFS('የንብረት መዝገብ'!$F$10:$F$209,A11,'የንብረት መዝገብ'!$M$10:$M$209,"የጠፋ"))</f>
        <v>0</v>
      </c>
    </row>
    <row r="12" customFormat="false" ht="15" hidden="false" customHeight="false" outlineLevel="0" collapsed="false">
      <c r="A12" s="42" t="str">
        <f aca="false">IF(ዝርዝሮች!A14="","",ዝርዝሮች!A14)</f>
        <v>ጽሕፈት ቤት</v>
      </c>
      <c r="B12" s="42" t="n">
        <f aca="false">IF(A12="","",COUNTIFS('የንብረት መዝገብ'!$F$10:$F$209,A12,'የንብረት መዝገብ'!$C$10:$C$209,"&lt;&gt;"))</f>
        <v>0</v>
      </c>
      <c r="C12" s="43" t="n">
        <f aca="false">IF(A12="","",SUMIFS('የንብረት መዝገብ'!$G$10:$G$209,'የንብረት መዝገብ'!$F$10:$F$209,A12))</f>
        <v>0</v>
      </c>
      <c r="D12" s="43" t="n">
        <f aca="false">IF(A12="","",SUMIFS('የንብረት መዝገብ'!$J$10:$J$209,'የንብረት መዝገብ'!$F$10:$F$209,A12))</f>
        <v>0</v>
      </c>
      <c r="E12" s="43" t="n">
        <f aca="false">IF(A12="","",SUMIFS('የንብረት መዝገብ'!$S$10:$S$209,'የንብረት መዝገብ'!$F$10:$F$209,A12))</f>
        <v>0</v>
      </c>
      <c r="F12" s="42" t="n">
        <f aca="false">IF(A12="","",COUNTIFS('የንብረት መዝገብ'!$F$10:$F$209,A12,'የንብረት መዝገብ'!$M$10:$M$209,"የተበላሸ")+COUNTIFS('የንብረት መዝገብ'!$F$10:$F$209,A12,'የንብረት መዝገብ'!$M$10:$M$209,"የጠፋ"))</f>
        <v>0</v>
      </c>
    </row>
    <row r="13" customFormat="false" ht="15" hidden="false" customHeight="false" outlineLevel="0" collapsed="false">
      <c r="A13" s="15" t="str">
        <f aca="false">IF(ዝርዝሮች!A15="","",ዝርዝሮች!A15)</f>
        <v>የዲኮር ኮሚቴ</v>
      </c>
      <c r="B13" s="15" t="n">
        <f aca="false">IF(A13="","",COUNTIFS('የንብረት መዝገብ'!$F$10:$F$209,A13,'የንብረት መዝገብ'!$C$10:$C$209,"&lt;&gt;"))</f>
        <v>0</v>
      </c>
      <c r="C13" s="44" t="n">
        <f aca="false">IF(A13="","",SUMIFS('የንብረት መዝገብ'!$G$10:$G$209,'የንብረት መዝገብ'!$F$10:$F$209,A13))</f>
        <v>0</v>
      </c>
      <c r="D13" s="44" t="n">
        <f aca="false">IF(A13="","",SUMIFS('የንብረት መዝገብ'!$J$10:$J$209,'የንብረት መዝገብ'!$F$10:$F$209,A13))</f>
        <v>0</v>
      </c>
      <c r="E13" s="44" t="n">
        <f aca="false">IF(A13="","",SUMIFS('የንብረት መዝገብ'!$S$10:$S$209,'የንብረት መዝገብ'!$F$10:$F$209,A13))</f>
        <v>0</v>
      </c>
      <c r="F13" s="15" t="n">
        <f aca="false">IF(A13="","",COUNTIFS('የንብረት መዝገብ'!$F$10:$F$209,A13,'የንብረት መዝገብ'!$M$10:$M$209,"የተበላሸ")+COUNTIFS('የንብረት መዝገብ'!$F$10:$F$209,A13,'የንብረት መዝገብ'!$M$10:$M$209,"የጠፋ"))</f>
        <v>0</v>
      </c>
    </row>
    <row r="14" customFormat="false" ht="15" hidden="false" customHeight="false" outlineLevel="0" collapsed="false">
      <c r="A14" s="42" t="str">
        <f aca="false">IF(ዝርዝሮች!A16="","",ዝርዝሮች!A16)</f>
        <v/>
      </c>
      <c r="B14" s="42" t="str">
        <f aca="false">IF(A14="","",COUNTIFS('የንብረት መዝገብ'!$F$10:$F$209,A14,'የንብረት መዝገብ'!$C$10:$C$209,"&lt;&gt;"))</f>
        <v/>
      </c>
      <c r="C14" s="43" t="str">
        <f aca="false">IF(A14="","",SUMIFS('የንብረት መዝገብ'!$G$10:$G$209,'የንብረት መዝገብ'!$F$10:$F$209,A14))</f>
        <v/>
      </c>
      <c r="D14" s="43" t="str">
        <f aca="false">IF(A14="","",SUMIFS('የንብረት መዝገብ'!$J$10:$J$209,'የንብረት መዝገብ'!$F$10:$F$209,A14))</f>
        <v/>
      </c>
      <c r="E14" s="43" t="str">
        <f aca="false">IF(A14="","",SUMIFS('የንብረት መዝገብ'!$S$10:$S$209,'የንብረት መዝገብ'!$F$10:$F$209,A14))</f>
        <v/>
      </c>
      <c r="F14" s="42" t="str">
        <f aca="false">IF(A14="","",COUNTIFS('የንብረት መዝገብ'!$F$10:$F$209,A14,'የንብረት መዝገብ'!$M$10:$M$209,"የተበላሸ")+COUNTIFS('የንብረት መዝገብ'!$F$10:$F$209,A14,'የንብረት መዝገብ'!$M$10:$M$209,"የጠፋ"))</f>
        <v/>
      </c>
    </row>
    <row r="15" customFormat="false" ht="15" hidden="false" customHeight="false" outlineLevel="0" collapsed="false">
      <c r="A15" s="15" t="str">
        <f aca="false">IF(ዝርዝሮች!A17="","",ዝርዝሮች!A17)</f>
        <v/>
      </c>
      <c r="B15" s="15" t="str">
        <f aca="false">IF(A15="","",COUNTIFS('የንብረት መዝገብ'!$F$10:$F$209,A15,'የንብረት መዝገብ'!$C$10:$C$209,"&lt;&gt;"))</f>
        <v/>
      </c>
      <c r="C15" s="44" t="str">
        <f aca="false">IF(A15="","",SUMIFS('የንብረት መዝገብ'!$G$10:$G$209,'የንብረት መዝገብ'!$F$10:$F$209,A15))</f>
        <v/>
      </c>
      <c r="D15" s="44" t="str">
        <f aca="false">IF(A15="","",SUMIFS('የንብረት መዝገብ'!$J$10:$J$209,'የንብረት መዝገብ'!$F$10:$F$209,A15))</f>
        <v/>
      </c>
      <c r="E15" s="44" t="str">
        <f aca="false">IF(A15="","",SUMIFS('የንብረት መዝገብ'!$S$10:$S$209,'የንብረት መዝገብ'!$F$10:$F$209,A15))</f>
        <v/>
      </c>
      <c r="F15" s="15" t="str">
        <f aca="false">IF(A15="","",COUNTIFS('የንብረት መዝገብ'!$F$10:$F$209,A15,'የንብረት መዝገብ'!$M$10:$M$209,"የተበላሸ")+COUNTIFS('የንብረት መዝገብ'!$F$10:$F$209,A15,'የንብረት መዝገብ'!$M$10:$M$209,"የጠፋ"))</f>
        <v/>
      </c>
    </row>
    <row r="16" customFormat="false" ht="15" hidden="false" customHeight="false" outlineLevel="0" collapsed="false">
      <c r="A16" s="42" t="str">
        <f aca="false">IF(ዝርዝሮች!A18="","",ዝርዝሮች!A18)</f>
        <v/>
      </c>
      <c r="B16" s="42" t="str">
        <f aca="false">IF(A16="","",COUNTIFS('የንብረት መዝገብ'!$F$10:$F$209,A16,'የንብረት መዝገብ'!$C$10:$C$209,"&lt;&gt;"))</f>
        <v/>
      </c>
      <c r="C16" s="43" t="str">
        <f aca="false">IF(A16="","",SUMIFS('የንብረት መዝገብ'!$G$10:$G$209,'የንብረት መዝገብ'!$F$10:$F$209,A16))</f>
        <v/>
      </c>
      <c r="D16" s="43" t="str">
        <f aca="false">IF(A16="","",SUMIFS('የንብረት መዝገብ'!$J$10:$J$209,'የንብረት መዝገብ'!$F$10:$F$209,A16))</f>
        <v/>
      </c>
      <c r="E16" s="43" t="str">
        <f aca="false">IF(A16="","",SUMIFS('የንብረት መዝገብ'!$S$10:$S$209,'የንብረት መዝገብ'!$F$10:$F$209,A16))</f>
        <v/>
      </c>
      <c r="F16" s="42" t="str">
        <f aca="false">IF(A16="","",COUNTIFS('የንብረት መዝገብ'!$F$10:$F$209,A16,'የንብረት መዝገብ'!$M$10:$M$209,"የተበላሸ")+COUNTIFS('የንብረት መዝገብ'!$F$10:$F$209,A16,'የንብረት መዝገብ'!$M$10:$M$209,"የጠፋ"))</f>
        <v/>
      </c>
    </row>
    <row r="17" customFormat="false" ht="15" hidden="false" customHeight="false" outlineLevel="0" collapsed="false">
      <c r="A17" s="15" t="str">
        <f aca="false">IF(ዝርዝሮች!A19="","",ዝርዝሮች!A19)</f>
        <v/>
      </c>
      <c r="B17" s="15" t="str">
        <f aca="false">IF(A17="","",COUNTIFS('የንብረት መዝገብ'!$F$10:$F$209,A17,'የንብረት መዝገብ'!$C$10:$C$209,"&lt;&gt;"))</f>
        <v/>
      </c>
      <c r="C17" s="44" t="str">
        <f aca="false">IF(A17="","",SUMIFS('የንብረት መዝገብ'!$G$10:$G$209,'የንብረት መዝገብ'!$F$10:$F$209,A17))</f>
        <v/>
      </c>
      <c r="D17" s="44" t="str">
        <f aca="false">IF(A17="","",SUMIFS('የንብረት መዝገብ'!$J$10:$J$209,'የንብረት መዝገብ'!$F$10:$F$209,A17))</f>
        <v/>
      </c>
      <c r="E17" s="44" t="str">
        <f aca="false">IF(A17="","",SUMIFS('የንብረት መዝገብ'!$S$10:$S$209,'የንብረት መዝገብ'!$F$10:$F$209,A17))</f>
        <v/>
      </c>
      <c r="F17" s="15" t="str">
        <f aca="false">IF(A17="","",COUNTIFS('የንብረት መዝገብ'!$F$10:$F$209,A17,'የንብረት መዝገብ'!$M$10:$M$209,"የተበላሸ")+COUNTIFS('የንብረት መዝገብ'!$F$10:$F$209,A17,'የንብረት መዝገብ'!$M$10:$M$209,"የጠፋ"))</f>
        <v/>
      </c>
    </row>
    <row r="18" customFormat="false" ht="15" hidden="false" customHeight="false" outlineLevel="0" collapsed="false">
      <c r="A18" s="42" t="str">
        <f aca="false">IF(ዝርዝሮች!A20="","",ዝርዝሮች!A20)</f>
        <v/>
      </c>
      <c r="B18" s="42" t="str">
        <f aca="false">IF(A18="","",COUNTIFS('የንብረት መዝገብ'!$F$10:$F$209,A18,'የንብረት መዝገብ'!$C$10:$C$209,"&lt;&gt;"))</f>
        <v/>
      </c>
      <c r="C18" s="43" t="str">
        <f aca="false">IF(A18="","",SUMIFS('የንብረት መዝገብ'!$G$10:$G$209,'የንብረት መዝገብ'!$F$10:$F$209,A18))</f>
        <v/>
      </c>
      <c r="D18" s="43" t="str">
        <f aca="false">IF(A18="","",SUMIFS('የንብረት መዝገብ'!$J$10:$J$209,'የንብረት መዝገብ'!$F$10:$F$209,A18))</f>
        <v/>
      </c>
      <c r="E18" s="43" t="str">
        <f aca="false">IF(A18="","",SUMIFS('የንብረት መዝገብ'!$S$10:$S$209,'የንብረት መዝገብ'!$F$10:$F$209,A18))</f>
        <v/>
      </c>
      <c r="F18" s="42" t="str">
        <f aca="false">IF(A18="","",COUNTIFS('የንብረት መዝገብ'!$F$10:$F$209,A18,'የንብረት መዝገብ'!$M$10:$M$209,"የተበላሸ")+COUNTIFS('የንብረት መዝገብ'!$F$10:$F$209,A18,'የንብረት መዝገብ'!$M$10:$M$209,"የጠፋ"))</f>
        <v/>
      </c>
    </row>
    <row r="19" customFormat="false" ht="15" hidden="false" customHeight="false" outlineLevel="0" collapsed="false">
      <c r="A19" s="15" t="str">
        <f aca="false">IF(ዝርዝሮች!A21="","",ዝርዝሮች!A21)</f>
        <v/>
      </c>
      <c r="B19" s="15" t="str">
        <f aca="false">IF(A19="","",COUNTIFS('የንብረት መዝገብ'!$F$10:$F$209,A19,'የንብረት መዝገብ'!$C$10:$C$209,"&lt;&gt;"))</f>
        <v/>
      </c>
      <c r="C19" s="44" t="str">
        <f aca="false">IF(A19="","",SUMIFS('የንብረት መዝገብ'!$G$10:$G$209,'የንብረት መዝገብ'!$F$10:$F$209,A19))</f>
        <v/>
      </c>
      <c r="D19" s="44" t="str">
        <f aca="false">IF(A19="","",SUMIFS('የንብረት መዝገብ'!$J$10:$J$209,'የንብረት መዝገብ'!$F$10:$F$209,A19))</f>
        <v/>
      </c>
      <c r="E19" s="44" t="str">
        <f aca="false">IF(A19="","",SUMIFS('የንብረት መዝገብ'!$S$10:$S$209,'የንብረት መዝገብ'!$F$10:$F$209,A19))</f>
        <v/>
      </c>
      <c r="F19" s="15" t="str">
        <f aca="false">IF(A19="","",COUNTIFS('የንብረት መዝገብ'!$F$10:$F$209,A19,'የንብረት መዝገብ'!$M$10:$M$209,"የተበላሸ")+COUNTIFS('የንብረት መዝገብ'!$F$10:$F$209,A19,'የንብረት መዝገብ'!$M$10:$M$209,"የጠፋ"))</f>
        <v/>
      </c>
    </row>
    <row r="20" customFormat="false" ht="15" hidden="false" customHeight="false" outlineLevel="0" collapsed="false">
      <c r="A20" s="42" t="str">
        <f aca="false">IF(ዝርዝሮች!A22="","",ዝርዝሮች!A22)</f>
        <v/>
      </c>
      <c r="B20" s="42" t="str">
        <f aca="false">IF(A20="","",COUNTIFS('የንብረት መዝገብ'!$F$10:$F$209,A20,'የንብረት መዝገብ'!$C$10:$C$209,"&lt;&gt;"))</f>
        <v/>
      </c>
      <c r="C20" s="43" t="str">
        <f aca="false">IF(A20="","",SUMIFS('የንብረት መዝገብ'!$G$10:$G$209,'የንብረት መዝገብ'!$F$10:$F$209,A20))</f>
        <v/>
      </c>
      <c r="D20" s="43" t="str">
        <f aca="false">IF(A20="","",SUMIFS('የንብረት መዝገብ'!$J$10:$J$209,'የንብረት መዝገብ'!$F$10:$F$209,A20))</f>
        <v/>
      </c>
      <c r="E20" s="43" t="str">
        <f aca="false">IF(A20="","",SUMIFS('የንብረት መዝገብ'!$S$10:$S$209,'የንብረት መዝገብ'!$F$10:$F$209,A20))</f>
        <v/>
      </c>
      <c r="F20" s="42" t="str">
        <f aca="false">IF(A20="","",COUNTIFS('የንብረት መዝገብ'!$F$10:$F$209,A20,'የንብረት መዝገብ'!$M$10:$M$209,"የተበላሸ")+COUNTIFS('የንብረት መዝገብ'!$F$10:$F$209,A20,'የንብረት መዝገብ'!$M$10:$M$209,"የጠፋ"))</f>
        <v/>
      </c>
    </row>
    <row r="21" customFormat="false" ht="15" hidden="false" customHeight="false" outlineLevel="0" collapsed="false">
      <c r="A21" s="15" t="str">
        <f aca="false">IF(ዝርዝሮች!A23="","",ዝርዝሮች!A23)</f>
        <v/>
      </c>
      <c r="B21" s="15" t="str">
        <f aca="false">IF(A21="","",COUNTIFS('የንብረት መዝገብ'!$F$10:$F$209,A21,'የንብረት መዝገብ'!$C$10:$C$209,"&lt;&gt;"))</f>
        <v/>
      </c>
      <c r="C21" s="44" t="str">
        <f aca="false">IF(A21="","",SUMIFS('የንብረት መዝገብ'!$G$10:$G$209,'የንብረት መዝገብ'!$F$10:$F$209,A21))</f>
        <v/>
      </c>
      <c r="D21" s="44" t="str">
        <f aca="false">IF(A21="","",SUMIFS('የንብረት መዝገብ'!$J$10:$J$209,'የንብረት መዝገብ'!$F$10:$F$209,A21))</f>
        <v/>
      </c>
      <c r="E21" s="44" t="str">
        <f aca="false">IF(A21="","",SUMIFS('የንብረት መዝገብ'!$S$10:$S$209,'የንብረት መዝገብ'!$F$10:$F$209,A21))</f>
        <v/>
      </c>
      <c r="F21" s="15" t="str">
        <f aca="false">IF(A21="","",COUNTIFS('የንብረት መዝገብ'!$F$10:$F$209,A21,'የንብረት መዝገብ'!$M$10:$M$209,"የተበላሸ")+COUNTIFS('የንብረት መዝገብ'!$F$10:$F$209,A21,'የንብረት መዝገብ'!$M$10:$M$209,"የጠፋ"))</f>
        <v/>
      </c>
    </row>
    <row r="22" customFormat="false" ht="15" hidden="false" customHeight="false" outlineLevel="0" collapsed="false">
      <c r="A22" s="42" t="str">
        <f aca="false">IF(ዝርዝሮች!A24="","",ዝርዝሮች!A24)</f>
        <v/>
      </c>
      <c r="B22" s="42" t="str">
        <f aca="false">IF(A22="","",COUNTIFS('የንብረት መዝገብ'!$F$10:$F$209,A22,'የንብረት መዝገብ'!$C$10:$C$209,"&lt;&gt;"))</f>
        <v/>
      </c>
      <c r="C22" s="43" t="str">
        <f aca="false">IF(A22="","",SUMIFS('የንብረት መዝገብ'!$G$10:$G$209,'የንብረት መዝገብ'!$F$10:$F$209,A22))</f>
        <v/>
      </c>
      <c r="D22" s="43" t="str">
        <f aca="false">IF(A22="","",SUMIFS('የንብረት መዝገብ'!$J$10:$J$209,'የንብረት መዝገብ'!$F$10:$F$209,A22))</f>
        <v/>
      </c>
      <c r="E22" s="43" t="str">
        <f aca="false">IF(A22="","",SUMIFS('የንብረት መዝገብ'!$S$10:$S$209,'የንብረት መዝገብ'!$F$10:$F$209,A22))</f>
        <v/>
      </c>
      <c r="F22" s="42" t="str">
        <f aca="false">IF(A22="","",COUNTIFS('የንብረት መዝገብ'!$F$10:$F$209,A22,'የንብረት መዝገብ'!$M$10:$M$209,"የተበላሸ")+COUNTIFS('የንብረት መዝገብ'!$F$10:$F$209,A22,'የንብረት መዝገብ'!$M$10:$M$209,"የጠፋ"))</f>
        <v/>
      </c>
    </row>
    <row r="23" customFormat="false" ht="15" hidden="false" customHeight="false" outlineLevel="0" collapsed="false">
      <c r="A23" s="15" t="str">
        <f aca="false">IF(ዝርዝሮች!A25="","",ዝርዝሮች!A25)</f>
        <v/>
      </c>
      <c r="B23" s="15" t="str">
        <f aca="false">IF(A23="","",COUNTIFS('የንብረት መዝገብ'!$F$10:$F$209,A23,'የንብረት መዝገብ'!$C$10:$C$209,"&lt;&gt;"))</f>
        <v/>
      </c>
      <c r="C23" s="44" t="str">
        <f aca="false">IF(A23="","",SUMIFS('የንብረት መዝገብ'!$G$10:$G$209,'የንብረት መዝገብ'!$F$10:$F$209,A23))</f>
        <v/>
      </c>
      <c r="D23" s="44" t="str">
        <f aca="false">IF(A23="","",SUMIFS('የንብረት መዝገብ'!$J$10:$J$209,'የንብረት መዝገብ'!$F$10:$F$209,A23))</f>
        <v/>
      </c>
      <c r="E23" s="44" t="str">
        <f aca="false">IF(A23="","",SUMIFS('የንብረት መዝገብ'!$S$10:$S$209,'የንብረት መዝገብ'!$F$10:$F$209,A23))</f>
        <v/>
      </c>
      <c r="F23" s="15" t="str">
        <f aca="false">IF(A23="","",COUNTIFS('የንብረት መዝገብ'!$F$10:$F$209,A23,'የንብረት መዝገብ'!$M$10:$M$209,"የተበላሸ")+COUNTIFS('የንብረት መዝገብ'!$F$10:$F$209,A23,'የንብረት መዝገብ'!$M$10:$M$209,"የጠፋ"))</f>
        <v/>
      </c>
    </row>
    <row r="24" customFormat="false" ht="15" hidden="false" customHeight="false" outlineLevel="0" collapsed="false">
      <c r="A24" s="45" t="s">
        <v>116</v>
      </c>
      <c r="B24" s="45" t="n">
        <f aca="false">SUM(B4:B23)</f>
        <v>0</v>
      </c>
      <c r="C24" s="46" t="n">
        <f aca="false">SUM(C4:C23)</f>
        <v>0</v>
      </c>
      <c r="D24" s="46" t="n">
        <f aca="false">SUM(D4:D23)</f>
        <v>0</v>
      </c>
      <c r="E24" s="46" t="n">
        <f aca="false">SUM(E4:E23)</f>
        <v>0</v>
      </c>
      <c r="F24" s="45" t="n">
        <f aca="false">SUM(F4:F23)</f>
        <v>0</v>
      </c>
    </row>
    <row r="26" customFormat="false" ht="16.15" hidden="false" customHeight="false" outlineLevel="0" collapsed="false">
      <c r="A26" s="10" t="s">
        <v>123</v>
      </c>
    </row>
    <row r="27" customFormat="false" ht="27.6" hidden="false" customHeight="false" outlineLevel="0" collapsed="false">
      <c r="A27" s="41" t="s">
        <v>32</v>
      </c>
      <c r="B27" s="41" t="s">
        <v>119</v>
      </c>
      <c r="C27" s="41" t="s">
        <v>120</v>
      </c>
      <c r="D27" s="41" t="s">
        <v>121</v>
      </c>
    </row>
    <row r="28" customFormat="false" ht="15" hidden="false" customHeight="false" outlineLevel="0" collapsed="false">
      <c r="A28" s="15" t="str">
        <f aca="false">IF(ዝርዝሮች!D6="","",ዝርዝሮች!D6)</f>
        <v>የዜማ መሣሪያዎች</v>
      </c>
      <c r="B28" s="15" t="n">
        <f aca="false">IF(A28="","",SUMIFS('የንብረት መዝገብ'!$G$10:$G$209,'የንብረት መዝገብ'!$E$10:$E$209,A28))</f>
        <v>0</v>
      </c>
      <c r="C28" s="44" t="n">
        <f aca="false">IF(A28="","",SUMIFS('የንብረት መዝገብ'!$J$10:$J$209,'የንብረት መዝገብ'!$E$10:$E$209,A28))</f>
        <v>0</v>
      </c>
      <c r="D28" s="44" t="n">
        <f aca="false">IF(A28="","",SUMIFS('የንብረት መዝገብ'!$S$10:$S$209,'የንብረት መዝገብ'!$E$10:$E$209,A28))</f>
        <v>0</v>
      </c>
    </row>
    <row r="29" customFormat="false" ht="15" hidden="false" customHeight="false" outlineLevel="0" collapsed="false">
      <c r="A29" s="15" t="str">
        <f aca="false">IF(ዝርዝሮች!D7="","",ዝርዝሮች!D7)</f>
        <v>ኤሌክትሮኒክስ</v>
      </c>
      <c r="B29" s="15" t="n">
        <f aca="false">IF(A29="","",SUMIFS('የንብረት መዝገብ'!$G$10:$G$209,'የንብረት መዝገብ'!$E$10:$E$209,A29))</f>
        <v>0</v>
      </c>
      <c r="C29" s="44" t="n">
        <f aca="false">IF(A29="","",SUMIFS('የንብረት መዝገብ'!$J$10:$J$209,'የንብረት መዝገብ'!$E$10:$E$209,A29))</f>
        <v>0</v>
      </c>
      <c r="D29" s="44" t="n">
        <f aca="false">IF(A29="","",SUMIFS('የንብረት መዝገብ'!$S$10:$S$209,'የንብረት መዝገብ'!$E$10:$E$209,A29))</f>
        <v>0</v>
      </c>
    </row>
    <row r="30" customFormat="false" ht="15" hidden="false" customHeight="false" outlineLevel="0" collapsed="false">
      <c r="A30" s="15" t="str">
        <f aca="false">IF(ዝርዝሮች!D8="","",ዝርዝሮች!D8)</f>
        <v>የድምፅ መሣሪያዎች</v>
      </c>
      <c r="B30" s="15" t="n">
        <f aca="false">IF(A30="","",SUMIFS('የንብረት መዝገብ'!$G$10:$G$209,'የንብረት መዝገብ'!$E$10:$E$209,A30))</f>
        <v>0</v>
      </c>
      <c r="C30" s="44" t="n">
        <f aca="false">IF(A30="","",SUMIFS('የንብረት መዝገብ'!$J$10:$J$209,'የንብረት መዝገብ'!$E$10:$E$209,A30))</f>
        <v>0</v>
      </c>
      <c r="D30" s="44" t="n">
        <f aca="false">IF(A30="","",SUMIFS('የንብረት መዝገብ'!$S$10:$S$209,'የንብረት መዝገብ'!$E$10:$E$209,A30))</f>
        <v>0</v>
      </c>
    </row>
    <row r="31" customFormat="false" ht="15" hidden="false" customHeight="false" outlineLevel="0" collapsed="false">
      <c r="A31" s="15" t="str">
        <f aca="false">IF(ዝርዝሮች!D9="","",ዝርዝሮች!D9)</f>
        <v>የቤት ዕቃዎች</v>
      </c>
      <c r="B31" s="15" t="n">
        <f aca="false">IF(A31="","",SUMIFS('የንብረት መዝገብ'!$G$10:$G$209,'የንብረት መዝገብ'!$E$10:$E$209,A31))</f>
        <v>0</v>
      </c>
      <c r="C31" s="44" t="n">
        <f aca="false">IF(A31="","",SUMIFS('የንብረት መዝገብ'!$J$10:$J$209,'የንብረት መዝገብ'!$E$10:$E$209,A31))</f>
        <v>0</v>
      </c>
      <c r="D31" s="44" t="n">
        <f aca="false">IF(A31="","",SUMIFS('የንብረት መዝገብ'!$S$10:$S$209,'የንብረት መዝገብ'!$E$10:$E$209,A31))</f>
        <v>0</v>
      </c>
    </row>
    <row r="32" customFormat="false" ht="15" hidden="false" customHeight="false" outlineLevel="0" collapsed="false">
      <c r="A32" s="15" t="str">
        <f aca="false">IF(ዝርዝሮች!D10="","",ዝርዝሮች!D10)</f>
        <v>መጻሕፍትና የትምህርት መርጃ</v>
      </c>
      <c r="B32" s="15" t="n">
        <f aca="false">IF(A32="","",SUMIFS('የንብረት መዝገብ'!$G$10:$G$209,'የንብረት መዝገብ'!$E$10:$E$209,A32))</f>
        <v>0</v>
      </c>
      <c r="C32" s="44" t="n">
        <f aca="false">IF(A32="","",SUMIFS('የንብረት መዝገብ'!$J$10:$J$209,'የንብረት መዝገብ'!$E$10:$E$209,A32))</f>
        <v>0</v>
      </c>
      <c r="D32" s="44" t="n">
        <f aca="false">IF(A32="","",SUMIFS('የንብረት መዝገብ'!$S$10:$S$209,'የንብረት መዝገብ'!$E$10:$E$209,A32))</f>
        <v>0</v>
      </c>
    </row>
    <row r="33" customFormat="false" ht="16.4" hidden="false" customHeight="false" outlineLevel="0" collapsed="false">
      <c r="A33" s="15" t="str">
        <f aca="false">IF(ዝርዝሮች!D11="","",ዝርዝሮች!D11)</f>
        <v>አልባሳት (ካባ፣ ቀሚስ)</v>
      </c>
      <c r="B33" s="15" t="n">
        <f aca="false">IF(A33="","",SUMIFS('የንብረት መዝገብ'!$G$10:$G$209,'የንብረት መዝገብ'!$E$10:$E$209,A33))</f>
        <v>0</v>
      </c>
      <c r="C33" s="44" t="n">
        <f aca="false">IF(A33="","",SUMIFS('የንብረት መዝገብ'!$J$10:$J$209,'የንብረት መዝገብ'!$E$10:$E$209,A33))</f>
        <v>0</v>
      </c>
      <c r="D33" s="44" t="n">
        <f aca="false">IF(A33="","",SUMIFS('የንብረት መዝገብ'!$S$10:$S$209,'የንብረት መዝገብ'!$E$10:$E$209,A33))</f>
        <v>0</v>
      </c>
    </row>
    <row r="34" customFormat="false" ht="15" hidden="false" customHeight="false" outlineLevel="0" collapsed="false">
      <c r="A34" s="15" t="str">
        <f aca="false">IF(ዝርዝሮች!D12="","",ዝርዝሮች!D12)</f>
        <v>የዲኮር ዕቃዎች</v>
      </c>
      <c r="B34" s="15" t="n">
        <f aca="false">IF(A34="","",SUMIFS('የንብረት መዝገብ'!$G$10:$G$209,'የንብረት መዝገብ'!$E$10:$E$209,A34))</f>
        <v>0</v>
      </c>
      <c r="C34" s="44" t="n">
        <f aca="false">IF(A34="","",SUMIFS('የንብረት መዝገብ'!$J$10:$J$209,'የንብረት መዝገብ'!$E$10:$E$209,A34))</f>
        <v>0</v>
      </c>
      <c r="D34" s="44" t="n">
        <f aca="false">IF(A34="","",SUMIFS('የንብረት መዝገብ'!$S$10:$S$209,'የንብረት መዝገብ'!$E$10:$E$209,A34))</f>
        <v>0</v>
      </c>
    </row>
    <row r="35" customFormat="false" ht="15" hidden="false" customHeight="false" outlineLevel="0" collapsed="false">
      <c r="A35" s="15" t="str">
        <f aca="false">IF(ዝርዝሮች!D13="","",ዝርዝሮች!D13)</f>
        <v>የጽሕፈት መሣሪያዎች</v>
      </c>
      <c r="B35" s="15" t="n">
        <f aca="false">IF(A35="","",SUMIFS('የንብረት መዝገብ'!$G$10:$G$209,'የንብረት መዝገብ'!$E$10:$E$209,A35))</f>
        <v>0</v>
      </c>
      <c r="C35" s="44" t="n">
        <f aca="false">IF(A35="","",SUMIFS('የንብረት መዝገብ'!$J$10:$J$209,'የንብረት መዝገብ'!$E$10:$E$209,A35))</f>
        <v>0</v>
      </c>
      <c r="D35" s="44" t="n">
        <f aca="false">IF(A35="","",SUMIFS('የንብረት መዝገብ'!$S$10:$S$209,'የንብረት መዝገብ'!$E$10:$E$209,A35))</f>
        <v>0</v>
      </c>
    </row>
    <row r="36" customFormat="false" ht="15" hidden="false" customHeight="false" outlineLevel="0" collapsed="false">
      <c r="A36" s="15" t="str">
        <f aca="false">IF(ዝርዝሮች!D14="","",ዝርዝሮች!D14)</f>
        <v>ፍጆታ ዕቃዎች</v>
      </c>
      <c r="B36" s="15" t="n">
        <f aca="false">IF(A36="","",SUMIFS('የንብረት መዝገብ'!$G$10:$G$209,'የንብረት መዝገብ'!$E$10:$E$209,A36))</f>
        <v>0</v>
      </c>
      <c r="C36" s="44" t="n">
        <f aca="false">IF(A36="","",SUMIFS('የንብረት መዝገብ'!$J$10:$J$209,'የንብረት መዝገብ'!$E$10:$E$209,A36))</f>
        <v>0</v>
      </c>
      <c r="D36" s="44" t="n">
        <f aca="false">IF(A36="","",SUMIFS('የንብረት መዝገብ'!$S$10:$S$209,'የንብረት መዝገብ'!$E$10:$E$209,A36))</f>
        <v>0</v>
      </c>
    </row>
    <row r="37" customFormat="false" ht="15" hidden="false" customHeight="false" outlineLevel="0" collapsed="false">
      <c r="A37" s="15" t="str">
        <f aca="false">IF(ዝርዝሮች!D15="","",ዝርዝሮች!D15)</f>
        <v/>
      </c>
      <c r="B37" s="15" t="str">
        <f aca="false">IF(A37="","",SUMIFS('የንብረት መዝገብ'!$G$10:$G$209,'የንብረት መዝገብ'!$E$10:$E$209,A37))</f>
        <v/>
      </c>
      <c r="C37" s="44" t="str">
        <f aca="false">IF(A37="","",SUMIFS('የንብረት መዝገብ'!$J$10:$J$209,'የንብረት መዝገብ'!$E$10:$E$209,A37))</f>
        <v/>
      </c>
      <c r="D37" s="44" t="str">
        <f aca="false">IF(A37="","",SUMIFS('የንብረት መዝገብ'!$S$10:$S$209,'የንብረት መዝገብ'!$E$10:$E$209,A37))</f>
        <v/>
      </c>
    </row>
    <row r="38" customFormat="false" ht="15" hidden="false" customHeight="false" outlineLevel="0" collapsed="false">
      <c r="A38" s="15" t="str">
        <f aca="false">IF(ዝርዝሮች!D16="","",ዝርዝሮች!D16)</f>
        <v/>
      </c>
      <c r="B38" s="15" t="str">
        <f aca="false">IF(A38="","",SUMIFS('የንብረት መዝገብ'!$G$10:$G$209,'የንብረት መዝገብ'!$E$10:$E$209,A38))</f>
        <v/>
      </c>
      <c r="C38" s="44" t="str">
        <f aca="false">IF(A38="","",SUMIFS('የንብረት መዝገብ'!$J$10:$J$209,'የንብረት መዝገብ'!$E$10:$E$209,A38))</f>
        <v/>
      </c>
      <c r="D38" s="44" t="str">
        <f aca="false">IF(A38="","",SUMIFS('የንብረት መዝገብ'!$S$10:$S$209,'የንብረት መዝገብ'!$E$10:$E$209,A38))</f>
        <v/>
      </c>
    </row>
    <row r="39" customFormat="false" ht="15" hidden="false" customHeight="false" outlineLevel="0" collapsed="false">
      <c r="A39" s="15" t="str">
        <f aca="false">IF(ዝርዝሮች!D17="","",ዝርዝሮች!D17)</f>
        <v/>
      </c>
      <c r="B39" s="15" t="str">
        <f aca="false">IF(A39="","",SUMIFS('የንብረት መዝገብ'!$G$10:$G$209,'የንብረት መዝገብ'!$E$10:$E$209,A39))</f>
        <v/>
      </c>
      <c r="C39" s="44" t="str">
        <f aca="false">IF(A39="","",SUMIFS('የንብረት መዝገብ'!$J$10:$J$209,'የንብረት መዝገብ'!$E$10:$E$209,A39))</f>
        <v/>
      </c>
      <c r="D39" s="44" t="str">
        <f aca="false">IF(A39="","",SUMIFS('የንብረት መዝገብ'!$S$10:$S$209,'የንብረት መዝገብ'!$E$10:$E$209,A39))</f>
        <v/>
      </c>
    </row>
    <row r="40" customFormat="false" ht="15" hidden="false" customHeight="false" outlineLevel="0" collapsed="false">
      <c r="A40" s="15" t="str">
        <f aca="false">IF(ዝርዝሮች!D18="","",ዝርዝሮች!D18)</f>
        <v/>
      </c>
      <c r="B40" s="15" t="str">
        <f aca="false">IF(A40="","",SUMIFS('የንብረት መዝገብ'!$G$10:$G$209,'የንብረት መዝገብ'!$E$10:$E$209,A40))</f>
        <v/>
      </c>
      <c r="C40" s="44" t="str">
        <f aca="false">IF(A40="","",SUMIFS('የንብረት መዝገብ'!$J$10:$J$209,'የንብረት መዝገብ'!$E$10:$E$209,A40))</f>
        <v/>
      </c>
      <c r="D40" s="44" t="str">
        <f aca="false">IF(A40="","",SUMIFS('የንብረት መዝገብ'!$S$10:$S$209,'የንብረት መዝገብ'!$E$10:$E$209,A40))</f>
        <v/>
      </c>
    </row>
    <row r="41" customFormat="false" ht="15" hidden="false" customHeight="false" outlineLevel="0" collapsed="false">
      <c r="A41" s="15" t="str">
        <f aca="false">IF(ዝርዝሮች!D19="","",ዝርዝሮች!D19)</f>
        <v/>
      </c>
      <c r="B41" s="15" t="str">
        <f aca="false">IF(A41="","",SUMIFS('የንብረት መዝገብ'!$G$10:$G$209,'የንብረት መዝገብ'!$E$10:$E$209,A41))</f>
        <v/>
      </c>
      <c r="C41" s="44" t="str">
        <f aca="false">IF(A41="","",SUMIFS('የንብረት መዝገብ'!$J$10:$J$209,'የንብረት መዝገብ'!$E$10:$E$209,A41))</f>
        <v/>
      </c>
      <c r="D41" s="44" t="str">
        <f aca="false">IF(A41="","",SUMIFS('የንብረት መዝገብ'!$S$10:$S$209,'የንብረት መዝገብ'!$E$10:$E$209,A41))</f>
        <v/>
      </c>
    </row>
    <row r="42" customFormat="false" ht="15" hidden="false" customHeight="false" outlineLevel="0" collapsed="false">
      <c r="A42" s="15" t="str">
        <f aca="false">IF(ዝርዝሮች!D20="","",ዝርዝሮች!D20)</f>
        <v/>
      </c>
      <c r="B42" s="15" t="str">
        <f aca="false">IF(A42="","",SUMIFS('የንብረት መዝገብ'!$G$10:$G$209,'የንብረት መዝገብ'!$E$10:$E$209,A42))</f>
        <v/>
      </c>
      <c r="C42" s="44" t="str">
        <f aca="false">IF(A42="","",SUMIFS('የንብረት መዝገብ'!$J$10:$J$209,'የንብረት መዝገብ'!$E$10:$E$209,A42))</f>
        <v/>
      </c>
      <c r="D42" s="44" t="str">
        <f aca="false">IF(A42="","",SUMIFS('የንብረት መዝገብ'!$S$10:$S$209,'የንብረት መዝገብ'!$E$10:$E$209,A42))</f>
        <v/>
      </c>
    </row>
    <row r="43" customFormat="false" ht="15" hidden="false" customHeight="false" outlineLevel="0" collapsed="false">
      <c r="A43" s="15" t="str">
        <f aca="false">IF(ዝርዝሮች!D21="","",ዝርዝሮች!D21)</f>
        <v/>
      </c>
      <c r="B43" s="15" t="str">
        <f aca="false">IF(A43="","",SUMIFS('የንብረት መዝገብ'!$G$10:$G$209,'የንብረት መዝገብ'!$E$10:$E$209,A43))</f>
        <v/>
      </c>
      <c r="C43" s="44" t="str">
        <f aca="false">IF(A43="","",SUMIFS('የንብረት መዝገብ'!$J$10:$J$209,'የንብረት መዝገብ'!$E$10:$E$209,A43))</f>
        <v/>
      </c>
      <c r="D43" s="44" t="str">
        <f aca="false">IF(A43="","",SUMIFS('የንብረት መዝገብ'!$S$10:$S$209,'የንብረት መዝገብ'!$E$10:$E$209,A43))</f>
        <v/>
      </c>
    </row>
    <row r="44" customFormat="false" ht="15" hidden="false" customHeight="false" outlineLevel="0" collapsed="false">
      <c r="A44" s="15" t="str">
        <f aca="false">IF(ዝርዝሮች!D22="","",ዝርዝሮች!D22)</f>
        <v/>
      </c>
      <c r="B44" s="15" t="str">
        <f aca="false">IF(A44="","",SUMIFS('የንብረት መዝገብ'!$G$10:$G$209,'የንብረት መዝገብ'!$E$10:$E$209,A44))</f>
        <v/>
      </c>
      <c r="C44" s="44" t="str">
        <f aca="false">IF(A44="","",SUMIFS('የንብረት መዝገብ'!$J$10:$J$209,'የንብረት መዝገብ'!$E$10:$E$209,A44))</f>
        <v/>
      </c>
      <c r="D44" s="44" t="str">
        <f aca="false">IF(A44="","",SUMIFS('የንብረት መዝገብ'!$S$10:$S$209,'የንብረት መዝገብ'!$E$10:$E$209,A44))</f>
        <v/>
      </c>
    </row>
    <row r="45" customFormat="false" ht="15" hidden="false" customHeight="false" outlineLevel="0" collapsed="false">
      <c r="A45" s="15" t="str">
        <f aca="false">IF(ዝርዝሮች!D23="","",ዝርዝሮች!D23)</f>
        <v/>
      </c>
      <c r="B45" s="15" t="str">
        <f aca="false">IF(A45="","",SUMIFS('የንብረት መዝገብ'!$G$10:$G$209,'የንብረት መዝገብ'!$E$10:$E$209,A45))</f>
        <v/>
      </c>
      <c r="C45" s="44" t="str">
        <f aca="false">IF(A45="","",SUMIFS('የንብረት መዝገብ'!$J$10:$J$209,'የንብረት መዝገብ'!$E$10:$E$209,A45))</f>
        <v/>
      </c>
      <c r="D45" s="44" t="str">
        <f aca="false">IF(A45="","",SUMIFS('የንብረት መዝገብ'!$S$10:$S$209,'የንብረት መዝገብ'!$E$10:$E$209,A45))</f>
        <v/>
      </c>
    </row>
    <row r="46" customFormat="false" ht="15" hidden="false" customHeight="false" outlineLevel="0" collapsed="false">
      <c r="A46" s="15" t="str">
        <f aca="false">IF(ዝርዝሮች!D24="","",ዝርዝሮች!D24)</f>
        <v/>
      </c>
      <c r="B46" s="15" t="str">
        <f aca="false">IF(A46="","",SUMIFS('የንብረት መዝገብ'!$G$10:$G$209,'የንብረት መዝገብ'!$E$10:$E$209,A46))</f>
        <v/>
      </c>
      <c r="C46" s="44" t="str">
        <f aca="false">IF(A46="","",SUMIFS('የንብረት መዝገብ'!$J$10:$J$209,'የንብረት መዝገብ'!$E$10:$E$209,A46))</f>
        <v/>
      </c>
      <c r="D46" s="44" t="str">
        <f aca="false">IF(A46="","",SUMIFS('የንብረት መዝገብ'!$S$10:$S$209,'የንብረት መዝገብ'!$E$10:$E$209,A46))</f>
        <v/>
      </c>
    </row>
    <row r="47" customFormat="false" ht="15" hidden="false" customHeight="false" outlineLevel="0" collapsed="false">
      <c r="A47" s="15" t="str">
        <f aca="false">IF(ዝርዝሮች!D25="","",ዝርዝሮች!D25)</f>
        <v/>
      </c>
      <c r="B47" s="15" t="str">
        <f aca="false">IF(A47="","",SUMIFS('የንብረት መዝገብ'!$G$10:$G$209,'የንብረት መዝገብ'!$E$10:$E$209,A47))</f>
        <v/>
      </c>
      <c r="C47" s="44" t="str">
        <f aca="false">IF(A47="","",SUMIFS('የንብረት መዝገብ'!$J$10:$J$209,'የንብረት መዝገብ'!$E$10:$E$209,A47))</f>
        <v/>
      </c>
      <c r="D47" s="44" t="str">
        <f aca="false">IF(A47="","",SUMIFS('የንብረት መዝገብ'!$S$10:$S$209,'የንብረት መዝገብ'!$E$10:$E$209,A47))</f>
        <v/>
      </c>
    </row>
  </sheetData>
  <sheetProtection sheet="true" password="d81c" formatColumns="false" formatRows="false" autoFilter="false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2026-10-11T17:44:45Z</dcterms:created>
  <dc:creator>openpyxl</dc:creator>
  <dc:description/>
  <dc:language>en-US</dc:language>
  <cp:lastModifiedBy/>
  <dcterms:modified xsi:type="dcterms:W3CDTF">2026-10-11T17:44:46Z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